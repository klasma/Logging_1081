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46321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S 85-2023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44931</v>
      </c>
      <c r="E6" s="1" t="n">
        <v>46321</v>
      </c>
      <c r="F6" t="inlineStr">
        <is>
          <t>BLEKINGE LÄN</t>
        </is>
      </c>
      <c r="G6" t="inlineStr">
        <is>
          <t>RONNEBY</t>
        </is>
      </c>
      <c r="I6" t="n">
        <v>11.9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85-2023 artfynd.xlsx", "S 85-2023")</f>
        <v/>
      </c>
      <c r="X6">
        <f>HYPERLINK("https://klasma.github.io/Logging_1081/kartor/S 85-2023 karta.png", "S 85-2023")</f>
        <v/>
      </c>
      <c r="Y6">
        <f>HYPERLINK("https://klasma.github.io/Logging_1081/kartor_geotiff/S 85-2023 georefererad karta.tif", "S 85-2023")</f>
        <v/>
      </c>
      <c r="AA6">
        <f>HYPERLINK("https://klasma.github.io/Logging_1081/klagomål/S 85-2023 FSC-klagomål.docx", "S 85-2023")</f>
        <v/>
      </c>
      <c r="AB6">
        <f>HYPERLINK("https://klasma.github.io/Logging_1081/klagomålsmail/S 85-2023 FSC-klagomål mail.docx", "S 85-2023")</f>
        <v/>
      </c>
      <c r="AC6">
        <f>HYPERLINK("https://klasma.github.io/Logging_1081/tillsyn/S 85-2023 tillsynsbegäran.docx", "S 85-2023")</f>
        <v/>
      </c>
      <c r="AD6">
        <f>HYPERLINK("https://klasma.github.io/Logging_1081/tillsynsmail/S 85-2023 tillsynsbegäran mail.docx", "S 85-2023")</f>
        <v/>
      </c>
    </row>
    <row r="7" ht="15" customHeight="1">
      <c r="A7" t="inlineStr">
        <is>
          <t>S 2678-2023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45153</v>
      </c>
      <c r="E7" s="1" t="n">
        <v>46321</v>
      </c>
      <c r="F7" t="inlineStr">
        <is>
          <t>BLEKINGE LÄN</t>
        </is>
      </c>
      <c r="G7" t="inlineStr">
        <is>
          <t>RONNEBY</t>
        </is>
      </c>
      <c r="I7" t="n">
        <v>12.1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2678-2023 artfynd.xlsx", "S 2678-2023")</f>
        <v/>
      </c>
      <c r="X7">
        <f>HYPERLINK("https://klasma.github.io/Logging_1081/kartor/S 2678-2023 karta.png", "S 2678-2023")</f>
        <v/>
      </c>
      <c r="Y7">
        <f>HYPERLINK("https://klasma.github.io/Logging_1081/kartor_geotiff/S 2678-2023 georefererad karta.tif", "S 2678-2023")</f>
        <v/>
      </c>
      <c r="AA7">
        <f>HYPERLINK("https://klasma.github.io/Logging_1081/klagomål/S 2678-2023 FSC-klagomål.docx", "S 2678-2023")</f>
        <v/>
      </c>
      <c r="AB7">
        <f>HYPERLINK("https://klasma.github.io/Logging_1081/klagomålsmail/S 2678-2023 FSC-klagomål mail.docx", "S 2678-2023")</f>
        <v/>
      </c>
      <c r="AC7">
        <f>HYPERLINK("https://klasma.github.io/Logging_1081/tillsyn/S 2678-2023 tillsynsbegäran.docx", "S 2678-2023")</f>
        <v/>
      </c>
      <c r="AD7">
        <f>HYPERLINK("https://klasma.github.io/Logging_1081/tillsynsmail/S 2678-2023 tillsynsbegäran mail.docx", "S 2678-2023")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46321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46321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26956-2023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46321</v>
      </c>
      <c r="F10" t="inlineStr">
        <is>
          <t>BLEKINGE LÄN</t>
        </is>
      </c>
      <c r="G10" t="inlineStr">
        <is>
          <t>RONNEBY</t>
        </is>
      </c>
      <c r="I10" t="n">
        <v>5.1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9</v>
      </c>
      <c r="U10" t="n">
        <v>8</v>
      </c>
      <c r="V10" s="2" t="inlineStr">
        <is>
          <t>Sandödla
Grönhjon
Molnfläcksbock
Ekoxe
Blåsippa</t>
        </is>
      </c>
      <c r="W10">
        <f>HYPERLINK("https://klasma.github.io/Logging_1081/artfynd/A 26956-2023 artfynd.xlsx", "A 26956-2023")</f>
        <v/>
      </c>
      <c r="X10">
        <f>HYPERLINK("https://klasma.github.io/Logging_1081/kartor/A 26956-2023 karta.png", "A 26956-2023")</f>
        <v/>
      </c>
      <c r="Y10">
        <f>HYPERLINK("https://klasma.github.io/Logging_1081/kartor_geotiff/A 26956-2023 georefererad karta.tif", "A 26956-2023")</f>
        <v/>
      </c>
      <c r="AA10">
        <f>HYPERLINK("https://klasma.github.io/Logging_1081/klagomål/A 26956-2023 FSC-klagomål.docx", "A 26956-2023")</f>
        <v/>
      </c>
      <c r="AB10">
        <f>HYPERLINK("https://klasma.github.io/Logging_1081/klagomålsmail/A 26956-2023 FSC-klagomål mail.docx", "A 26956-2023")</f>
        <v/>
      </c>
      <c r="AC10">
        <f>HYPERLINK("https://klasma.github.io/Logging_1081/tillsyn/A 26956-2023 tillsynsbegäran.docx", "A 26956-2023")</f>
        <v/>
      </c>
      <c r="AD10">
        <f>HYPERLINK("https://klasma.github.io/Logging_1081/tillsynsmail/A 26956-2023 tillsynsbegäran mail.docx", "A 26956-2023")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46321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46321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44075-2026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46317</v>
      </c>
      <c r="E13" s="1" t="n">
        <v>46321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5.7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8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44075-2026 artfynd.xlsx", "A 44075-2026")</f>
        <v/>
      </c>
      <c r="X13">
        <f>HYPERLINK("https://klasma.github.io/Logging_1081/kartor/A 44075-2026 karta.png", "A 44075-2026")</f>
        <v/>
      </c>
      <c r="Y13">
        <f>HYPERLINK("https://klasma.github.io/Logging_1081/kartor_geotiff/A 44075-2026 georefererad karta.tif", "A 44075-2026")</f>
        <v/>
      </c>
      <c r="AA13">
        <f>HYPERLINK("https://klasma.github.io/Logging_1081/klagomål/A 44075-2026 FSC-klagomål.docx", "A 44075-2026")</f>
        <v/>
      </c>
      <c r="AB13">
        <f>HYPERLINK("https://klasma.github.io/Logging_1081/klagomålsmail/A 44075-2026 FSC-klagomål mail.docx", "A 44075-2026")</f>
        <v/>
      </c>
      <c r="AC13">
        <f>HYPERLINK("https://klasma.github.io/Logging_1081/tillsyn/A 44075-2026 tillsynsbegäran.docx", "A 44075-2026")</f>
        <v/>
      </c>
      <c r="AD13">
        <f>HYPERLINK("https://klasma.github.io/Logging_1081/tillsynsmail/A 44075-2026 tillsynsbegäran mail.docx", "A 44075-2026")</f>
        <v/>
      </c>
    </row>
    <row r="14" ht="15" customHeight="1">
      <c r="A14" t="inlineStr">
        <is>
          <t>A 30508-2022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46321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6.7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30508-2022 artfynd.xlsx", "A 30508-2022")</f>
        <v/>
      </c>
      <c r="X14">
        <f>HYPERLINK("https://klasma.github.io/Logging_1081/kartor/A 30508-2022 karta.png", "A 30508-2022")</f>
        <v/>
      </c>
      <c r="Y14">
        <f>HYPERLINK("https://klasma.github.io/Logging_1081/kartor_geotiff/A 30508-2022 georefererad karta.tif", "A 30508-2022")</f>
        <v/>
      </c>
      <c r="AA14">
        <f>HYPERLINK("https://klasma.github.io/Logging_1081/klagomål/A 30508-2022 FSC-klagomål.docx", "A 30508-2022")</f>
        <v/>
      </c>
      <c r="AB14">
        <f>HYPERLINK("https://klasma.github.io/Logging_1081/klagomålsmail/A 30508-2022 FSC-klagomål mail.docx", "A 30508-2022")</f>
        <v/>
      </c>
      <c r="AC14">
        <f>HYPERLINK("https://klasma.github.io/Logging_1081/tillsyn/A 30508-2022 tillsynsbegäran.docx", "A 30508-2022")</f>
        <v/>
      </c>
      <c r="AD14">
        <f>HYPERLINK("https://klasma.github.io/Logging_1081/tillsynsmail/A 30508-2022 tillsynsbegäran mail.docx", "A 30508-2022")</f>
        <v/>
      </c>
    </row>
    <row r="15" ht="15" customHeight="1">
      <c r="A15" t="inlineStr">
        <is>
          <t>A 13468-2022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46321</v>
      </c>
      <c r="F15" t="inlineStr">
        <is>
          <t>BLEKINGE LÄN</t>
        </is>
      </c>
      <c r="G15" t="inlineStr">
        <is>
          <t>RONNEBY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Krushättemossa
Liljekonvalj
Skogsstjärna</t>
        </is>
      </c>
      <c r="W15">
        <f>HYPERLINK("https://klasma.github.io/Logging_1081/artfynd/A 13468-2022 artfynd.xlsx", "A 13468-2022")</f>
        <v/>
      </c>
      <c r="X15">
        <f>HYPERLINK("https://klasma.github.io/Logging_1081/kartor/A 13468-2022 karta.png", "A 13468-2022")</f>
        <v/>
      </c>
      <c r="Y15">
        <f>HYPERLINK("https://klasma.github.io/Logging_1081/kartor_geotiff/A 13468-2022 georefererad karta.tif", "A 13468-2022")</f>
        <v/>
      </c>
      <c r="AA15">
        <f>HYPERLINK("https://klasma.github.io/Logging_1081/klagomål/A 13468-2022 FSC-klagomål.docx", "A 13468-2022")</f>
        <v/>
      </c>
      <c r="AB15">
        <f>HYPERLINK("https://klasma.github.io/Logging_1081/klagomålsmail/A 13468-2022 FSC-klagomål mail.docx", "A 13468-2022")</f>
        <v/>
      </c>
      <c r="AC15">
        <f>HYPERLINK("https://klasma.github.io/Logging_1081/tillsyn/A 13468-2022 tillsynsbegäran.docx", "A 13468-2022")</f>
        <v/>
      </c>
      <c r="AD15">
        <f>HYPERLINK("https://klasma.github.io/Logging_1081/tillsynsmail/A 13468-2022 tillsynsbegäran mail.docx", "A 13468-2022")</f>
        <v/>
      </c>
    </row>
    <row r="16" ht="15" customHeight="1">
      <c r="A16" t="inlineStr">
        <is>
          <t>A 30531-2022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44762</v>
      </c>
      <c r="E16" s="1" t="n">
        <v>46321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2.1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Puderfläck
Rostfläck
Blåsippa</t>
        </is>
      </c>
      <c r="W16">
        <f>HYPERLINK("https://klasma.github.io/Logging_1081/artfynd/A 30531-2022 artfynd.xlsx", "A 30531-2022")</f>
        <v/>
      </c>
      <c r="X16">
        <f>HYPERLINK("https://klasma.github.io/Logging_1081/kartor/A 30531-2022 karta.png", "A 30531-2022")</f>
        <v/>
      </c>
      <c r="Y16">
        <f>HYPERLINK("https://klasma.github.io/Logging_1081/kartor_geotiff/A 30531-2022 georefererad karta.tif", "A 30531-2022")</f>
        <v/>
      </c>
      <c r="AA16">
        <f>HYPERLINK("https://klasma.github.io/Logging_1081/klagomål/A 30531-2022 FSC-klagomål.docx", "A 30531-2022")</f>
        <v/>
      </c>
      <c r="AB16">
        <f>HYPERLINK("https://klasma.github.io/Logging_1081/klagomålsmail/A 30531-2022 FSC-klagomål mail.docx", "A 30531-2022")</f>
        <v/>
      </c>
      <c r="AC16">
        <f>HYPERLINK("https://klasma.github.io/Logging_1081/tillsyn/A 30531-2022 tillsynsbegäran.docx", "A 30531-2022")</f>
        <v/>
      </c>
      <c r="AD16">
        <f>HYPERLINK("https://klasma.github.io/Logging_1081/tillsynsmail/A 30531-2022 tillsynsbegäran mail.docx", "A 30531-2022")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46321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46321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46321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S 3881-2023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45230</v>
      </c>
      <c r="E20" s="1" t="n">
        <v>46321</v>
      </c>
      <c r="F20" t="inlineStr">
        <is>
          <t>BLEKINGE LÄN</t>
        </is>
      </c>
      <c r="G20" t="inlineStr">
        <is>
          <t>RONNEBY</t>
        </is>
      </c>
      <c r="I20" t="n">
        <v>10.9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Lunglav
Stiftklotterlav
Guldlockmossa</t>
        </is>
      </c>
      <c r="W20">
        <f>HYPERLINK("https://klasma.github.io/Logging_1081/artfynd/S 3881-2023 artfynd.xlsx", "S 3881-2023")</f>
        <v/>
      </c>
      <c r="X20">
        <f>HYPERLINK("https://klasma.github.io/Logging_1081/kartor/S 3881-2023 karta.png", "S 3881-2023")</f>
        <v/>
      </c>
      <c r="Y20">
        <f>HYPERLINK("https://klasma.github.io/Logging_1081/kartor_geotiff/S 3881-2023 georefererad karta.tif", "S 3881-2023")</f>
        <v/>
      </c>
      <c r="AA20">
        <f>HYPERLINK("https://klasma.github.io/Logging_1081/klagomål/S 3881-2023 FSC-klagomål.docx", "S 3881-2023")</f>
        <v/>
      </c>
      <c r="AB20">
        <f>HYPERLINK("https://klasma.github.io/Logging_1081/klagomålsmail/S 3881-2023 FSC-klagomål mail.docx", "S 3881-2023")</f>
        <v/>
      </c>
      <c r="AC20">
        <f>HYPERLINK("https://klasma.github.io/Logging_1081/tillsyn/S 3881-2023 tillsynsbegäran.docx", "S 3881-2023")</f>
        <v/>
      </c>
      <c r="AD20">
        <f>HYPERLINK("https://klasma.github.io/Logging_1081/tillsynsmail/S 3881-2023 tillsynsbegäran mail.docx", "S 3881-2023")</f>
        <v/>
      </c>
    </row>
    <row r="21" ht="15" customHeight="1">
      <c r="A21" t="inlineStr">
        <is>
          <t>S 2121-2022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44676</v>
      </c>
      <c r="E21" s="1" t="n">
        <v>46321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220.6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Korskovall
Svart skogssnigel
Tibast</t>
        </is>
      </c>
      <c r="W21">
        <f>HYPERLINK("https://klasma.github.io/Logging_1081/artfynd/S 2121-2022 artfynd.xlsx", "S 2121-2022")</f>
        <v/>
      </c>
      <c r="X21">
        <f>HYPERLINK("https://klasma.github.io/Logging_1081/kartor/S 2121-2022 karta.png", "S 2121-2022")</f>
        <v/>
      </c>
      <c r="Y21">
        <f>HYPERLINK("https://klasma.github.io/Logging_1081/kartor_geotiff/S 2121-2022 georefererad karta.tif", "S 2121-2022")</f>
        <v/>
      </c>
      <c r="AA21">
        <f>HYPERLINK("https://klasma.github.io/Logging_1081/klagomål/S 2121-2022 FSC-klagomål.docx", "S 2121-2022")</f>
        <v/>
      </c>
      <c r="AB21">
        <f>HYPERLINK("https://klasma.github.io/Logging_1081/klagomålsmail/S 2121-2022 FSC-klagomål mail.docx", "S 2121-2022")</f>
        <v/>
      </c>
      <c r="AC21">
        <f>HYPERLINK("https://klasma.github.io/Logging_1081/tillsyn/S 2121-2022 tillsynsbegäran.docx", "S 2121-2022")</f>
        <v/>
      </c>
      <c r="AD21">
        <f>HYPERLINK("https://klasma.github.io/Logging_1081/tillsynsmail/S 2121-2022 tillsynsbegäran mail.docx", "S 2121-2022")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46321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46321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46321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14625-2022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46321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7.3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Havstulpanlav
Klippfrullania</t>
        </is>
      </c>
      <c r="W25">
        <f>HYPERLINK("https://klasma.github.io/Logging_1081/artfynd/A 14625-2022 artfynd.xlsx", "A 14625-2022")</f>
        <v/>
      </c>
      <c r="X25">
        <f>HYPERLINK("https://klasma.github.io/Logging_1081/kartor/A 14625-2022 karta.png", "A 14625-2022")</f>
        <v/>
      </c>
      <c r="Y25">
        <f>HYPERLINK("https://klasma.github.io/Logging_1081/kartor_geotiff/A 14625-2022 georefererad karta.tif", "A 14625-2022")</f>
        <v/>
      </c>
      <c r="AA25">
        <f>HYPERLINK("https://klasma.github.io/Logging_1081/klagomål/A 14625-2022 FSC-klagomål.docx", "A 14625-2022")</f>
        <v/>
      </c>
      <c r="AB25">
        <f>HYPERLINK("https://klasma.github.io/Logging_1081/klagomålsmail/A 14625-2022 FSC-klagomål mail.docx", "A 14625-2022")</f>
        <v/>
      </c>
      <c r="AC25">
        <f>HYPERLINK("https://klasma.github.io/Logging_1081/tillsyn/A 14625-2022 tillsynsbegäran.docx", "A 14625-2022")</f>
        <v/>
      </c>
      <c r="AD25">
        <f>HYPERLINK("https://klasma.github.io/Logging_1081/tillsynsmail/A 14625-2022 tillsynsbegäran mail.docx", "A 14625-2022")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46321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46321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46321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A 47800-2024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46321</v>
      </c>
      <c r="F29" t="inlineStr">
        <is>
          <t>BLEKINGE LÄN</t>
        </is>
      </c>
      <c r="G29" t="inlineStr">
        <is>
          <t>RONNEBY</t>
        </is>
      </c>
      <c r="H29" t="inlineStr">
        <is>
          <t>Kommuner</t>
        </is>
      </c>
      <c r="I29" t="n">
        <v>5.8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Grå taggsvamp
Tjockfotad fingersvamp</t>
        </is>
      </c>
      <c r="W29">
        <f>HYPERLINK("https://klasma.github.io/Logging_1081/artfynd/A 47800-2024 artfynd.xlsx", "A 47800-2024")</f>
        <v/>
      </c>
      <c r="X29">
        <f>HYPERLINK("https://klasma.github.io/Logging_1081/kartor/A 47800-2024 karta.png", "A 47800-2024")</f>
        <v/>
      </c>
      <c r="Y29">
        <f>HYPERLINK("https://klasma.github.io/Logging_1081/kartor_geotiff/A 47800-2024 georefererad karta.tif", "A 47800-2024")</f>
        <v/>
      </c>
      <c r="AA29">
        <f>HYPERLINK("https://klasma.github.io/Logging_1081/klagomål/A 47800-2024 FSC-klagomål.docx", "A 47800-2024")</f>
        <v/>
      </c>
      <c r="AB29">
        <f>HYPERLINK("https://klasma.github.io/Logging_1081/klagomålsmail/A 47800-2024 FSC-klagomål mail.docx", "A 47800-2024")</f>
        <v/>
      </c>
      <c r="AC29">
        <f>HYPERLINK("https://klasma.github.io/Logging_1081/tillsyn/A 47800-2024 tillsynsbegäran.docx", "A 47800-2024")</f>
        <v/>
      </c>
      <c r="AD29">
        <f>HYPERLINK("https://klasma.github.io/Logging_1081/tillsynsmail/A 47800-2024 tillsynsbegäran mail.docx", "A 47800-2024")</f>
        <v/>
      </c>
    </row>
    <row r="30" ht="15" customHeight="1">
      <c r="A30" t="inlineStr">
        <is>
          <t>S 1695-2020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44039</v>
      </c>
      <c r="E30" s="1" t="n">
        <v>46321</v>
      </c>
      <c r="F30" t="inlineStr">
        <is>
          <t>BLEKINGE LÄN</t>
        </is>
      </c>
      <c r="G30" t="inlineStr">
        <is>
          <t>RONNEBY</t>
        </is>
      </c>
      <c r="I30" t="n">
        <v>0.1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Gammelekslav
Grå skärelav</t>
        </is>
      </c>
      <c r="W30">
        <f>HYPERLINK("https://klasma.github.io/Logging_1081/artfynd/S 1695-2020 artfynd.xlsx", "S 1695-2020")</f>
        <v/>
      </c>
      <c r="X30">
        <f>HYPERLINK("https://klasma.github.io/Logging_1081/kartor/S 1695-2020 karta.png", "S 1695-2020")</f>
        <v/>
      </c>
      <c r="Y30">
        <f>HYPERLINK("https://klasma.github.io/Logging_1081/kartor_geotiff/S 1695-2020 georefererad karta.tif", "S 1695-2020")</f>
        <v/>
      </c>
      <c r="AA30">
        <f>HYPERLINK("https://klasma.github.io/Logging_1081/klagomål/S 1695-2020 FSC-klagomål.docx", "S 1695-2020")</f>
        <v/>
      </c>
      <c r="AB30">
        <f>HYPERLINK("https://klasma.github.io/Logging_1081/klagomålsmail/S 1695-2020 FSC-klagomål mail.docx", "S 1695-2020")</f>
        <v/>
      </c>
      <c r="AC30">
        <f>HYPERLINK("https://klasma.github.io/Logging_1081/tillsyn/S 1695-2020 tillsynsbegäran.docx", "S 1695-2020")</f>
        <v/>
      </c>
      <c r="AD30">
        <f>HYPERLINK("https://klasma.github.io/Logging_1081/tillsynsmail/S 1695-2020 tillsynsbegäran mail.docx", "S 1695-2020")</f>
        <v/>
      </c>
    </row>
    <row r="31" ht="15" customHeight="1">
      <c r="A31" t="inlineStr">
        <is>
          <t>A 15071-2022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46321</v>
      </c>
      <c r="F31" t="inlineStr">
        <is>
          <t>BLEKINGE LÄN</t>
        </is>
      </c>
      <c r="G31" t="inlineStr">
        <is>
          <t>RONNEBY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Grönhjon</t>
        </is>
      </c>
      <c r="W31">
        <f>HYPERLINK("https://klasma.github.io/Logging_1081/artfynd/A 15071-2022 artfynd.xlsx", "A 15071-2022")</f>
        <v/>
      </c>
      <c r="X31">
        <f>HYPERLINK("https://klasma.github.io/Logging_1081/kartor/A 15071-2022 karta.png", "A 15071-2022")</f>
        <v/>
      </c>
      <c r="Y31">
        <f>HYPERLINK("https://klasma.github.io/Logging_1081/kartor_geotiff/A 15071-2022 georefererad karta.tif", "A 15071-2022")</f>
        <v/>
      </c>
      <c r="AA31">
        <f>HYPERLINK("https://klasma.github.io/Logging_1081/klagomål/A 15071-2022 FSC-klagomål.docx", "A 15071-2022")</f>
        <v/>
      </c>
      <c r="AB31">
        <f>HYPERLINK("https://klasma.github.io/Logging_1081/klagomålsmail/A 15071-2022 FSC-klagomål mail.docx", "A 15071-2022")</f>
        <v/>
      </c>
      <c r="AC31">
        <f>HYPERLINK("https://klasma.github.io/Logging_1081/tillsyn/A 15071-2022 tillsynsbegäran.docx", "A 15071-2022")</f>
        <v/>
      </c>
      <c r="AD31">
        <f>HYPERLINK("https://klasma.github.io/Logging_1081/tillsynsmail/A 15071-2022 tillsynsbegäran mail.docx", "A 15071-2022")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46321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25104-2026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46321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Backsippa</t>
        </is>
      </c>
      <c r="W33">
        <f>HYPERLINK("https://klasma.github.io/Logging_1081/artfynd/A 25104-2026 artfynd.xlsx", "A 25104-2026")</f>
        <v/>
      </c>
      <c r="X33">
        <f>HYPERLINK("https://klasma.github.io/Logging_1081/kartor/A 25104-2026 karta.png", "A 25104-2026")</f>
        <v/>
      </c>
      <c r="Y33">
        <f>HYPERLINK("https://klasma.github.io/Logging_1081/kartor_geotiff/A 25104-2026 georefererad karta.tif", "A 25104-2026")</f>
        <v/>
      </c>
      <c r="AA33">
        <f>HYPERLINK("https://klasma.github.io/Logging_1081/klagomål/A 25104-2026 FSC-klagomål.docx", "A 25104-2026")</f>
        <v/>
      </c>
      <c r="AB33">
        <f>HYPERLINK("https://klasma.github.io/Logging_1081/klagomålsmail/A 25104-2026 FSC-klagomål mail.docx", "A 25104-2026")</f>
        <v/>
      </c>
      <c r="AC33">
        <f>HYPERLINK("https://klasma.github.io/Logging_1081/tillsyn/A 25104-2026 tillsynsbegäran.docx", "A 25104-2026")</f>
        <v/>
      </c>
      <c r="AD33">
        <f>HYPERLINK("https://klasma.github.io/Logging_1081/tillsynsmail/A 25104-2026 tillsynsbegäran mail.docx", "A 25104-2026")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46321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41058-2024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46321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HYPERLINK("https://klasma.github.io/Logging_1081/artfynd/A 41058-2024 artfynd.xlsx", "A 41058-2024")</f>
        <v/>
      </c>
      <c r="X35">
        <f>HYPERLINK("https://klasma.github.io/Logging_1081/kartor/A 41058-2024 karta.png", "A 41058-2024")</f>
        <v/>
      </c>
      <c r="Y35">
        <f>HYPERLINK("https://klasma.github.io/Logging_1081/kartor_geotiff/A 41058-2024 georefererad karta.tif", "A 41058-2024")</f>
        <v/>
      </c>
      <c r="AA35">
        <f>HYPERLINK("https://klasma.github.io/Logging_1081/klagomål/A 41058-2024 FSC-klagomål.docx", "A 41058-2024")</f>
        <v/>
      </c>
      <c r="AB35">
        <f>HYPERLINK("https://klasma.github.io/Logging_1081/klagomålsmail/A 41058-2024 FSC-klagomål mail.docx", "A 41058-2024")</f>
        <v/>
      </c>
      <c r="AC35">
        <f>HYPERLINK("https://klasma.github.io/Logging_1081/tillsyn/A 41058-2024 tillsynsbegäran.docx", "A 41058-2024")</f>
        <v/>
      </c>
      <c r="AD35">
        <f>HYPERLINK("https://klasma.github.io/Logging_1081/tillsynsmail/A 41058-2024 tillsynsbegäran mail.docx", "A 41058-2024")</f>
        <v/>
      </c>
      <c r="AE35">
        <f>HYPERLINK("https://klasma.github.io/Logging_1081/fåglar/A 41058-2024 prioriterade fågelarter.docx", "A 41058-2024")</f>
        <v/>
      </c>
    </row>
    <row r="36" ht="15" customHeight="1">
      <c r="A36" t="inlineStr">
        <is>
          <t>A 26114-2026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46321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HYPERLINK("https://klasma.github.io/Logging_1081/artfynd/A 26114-2026 artfynd.xlsx", "A 26114-2026")</f>
        <v/>
      </c>
      <c r="X36">
        <f>HYPERLINK("https://klasma.github.io/Logging_1081/kartor/A 26114-2026 karta.png", "A 26114-2026")</f>
        <v/>
      </c>
      <c r="Y36">
        <f>HYPERLINK("https://klasma.github.io/Logging_1081/kartor_geotiff/A 26114-2026 georefererad karta.tif", "A 26114-2026")</f>
        <v/>
      </c>
      <c r="AA36">
        <f>HYPERLINK("https://klasma.github.io/Logging_1081/klagomål/A 26114-2026 FSC-klagomål.docx", "A 26114-2026")</f>
        <v/>
      </c>
      <c r="AB36">
        <f>HYPERLINK("https://klasma.github.io/Logging_1081/klagomålsmail/A 26114-2026 FSC-klagomål mail.docx", "A 26114-2026")</f>
        <v/>
      </c>
      <c r="AC36">
        <f>HYPERLINK("https://klasma.github.io/Logging_1081/tillsyn/A 26114-2026 tillsynsbegäran.docx", "A 26114-2026")</f>
        <v/>
      </c>
      <c r="AD36">
        <f>HYPERLINK("https://klasma.github.io/Logging_1081/tillsynsmail/A 26114-2026 tillsynsbegäran mail.docx", "A 26114-2026")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46321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9922-2025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45717</v>
      </c>
      <c r="E38" s="1" t="n">
        <v>46321</v>
      </c>
      <c r="F38" t="inlineStr">
        <is>
          <t>BLEKINGE LÄN</t>
        </is>
      </c>
      <c r="G38" t="inlineStr">
        <is>
          <t>RONNEBY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Trädporella</t>
        </is>
      </c>
      <c r="W38">
        <f>HYPERLINK("https://klasma.github.io/Logging_1081/artfynd/A 9922-2025 artfynd.xlsx", "A 9922-2025")</f>
        <v/>
      </c>
      <c r="X38">
        <f>HYPERLINK("https://klasma.github.io/Logging_1081/kartor/A 9922-2025 karta.png", "A 9922-2025")</f>
        <v/>
      </c>
      <c r="Y38">
        <f>HYPERLINK("https://klasma.github.io/Logging_1081/kartor_geotiff/A 9922-2025 georefererad karta.tif", "A 9922-2025")</f>
        <v/>
      </c>
      <c r="AA38">
        <f>HYPERLINK("https://klasma.github.io/Logging_1081/klagomål/A 9922-2025 FSC-klagomål.docx", "A 9922-2025")</f>
        <v/>
      </c>
      <c r="AB38">
        <f>HYPERLINK("https://klasma.github.io/Logging_1081/klagomålsmail/A 9922-2025 FSC-klagomål mail.docx", "A 9922-2025")</f>
        <v/>
      </c>
      <c r="AC38">
        <f>HYPERLINK("https://klasma.github.io/Logging_1081/tillsyn/A 9922-2025 tillsynsbegäran.docx", "A 9922-2025")</f>
        <v/>
      </c>
      <c r="AD38">
        <f>HYPERLINK("https://klasma.github.io/Logging_1081/tillsynsmail/A 9922-2025 tillsynsbegäran mail.docx", "A 9922-2025")</f>
        <v/>
      </c>
    </row>
    <row r="39" ht="15" customHeight="1">
      <c r="A39" t="inlineStr">
        <is>
          <t>A 24296-2024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45457</v>
      </c>
      <c r="E39" s="1" t="n">
        <v>46321</v>
      </c>
      <c r="F39" t="inlineStr">
        <is>
          <t>BLEKINGE LÄN</t>
        </is>
      </c>
      <c r="G39" t="inlineStr">
        <is>
          <t>RONNEBY</t>
        </is>
      </c>
      <c r="I39" t="n">
        <v>12.7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HYPERLINK("https://klasma.github.io/Logging_1081/artfynd/A 24296-2024 artfynd.xlsx", "A 24296-2024")</f>
        <v/>
      </c>
      <c r="X39">
        <f>HYPERLINK("https://klasma.github.io/Logging_1081/kartor/A 24296-2024 karta.png", "A 24296-2024")</f>
        <v/>
      </c>
      <c r="Y39">
        <f>HYPERLINK("https://klasma.github.io/Logging_1081/kartor_geotiff/A 24296-2024 georefererad karta.tif", "A 24296-2024")</f>
        <v/>
      </c>
      <c r="AA39">
        <f>HYPERLINK("https://klasma.github.io/Logging_1081/klagomål/A 24296-2024 FSC-klagomål.docx", "A 24296-2024")</f>
        <v/>
      </c>
      <c r="AB39">
        <f>HYPERLINK("https://klasma.github.io/Logging_1081/klagomålsmail/A 24296-2024 FSC-klagomål mail.docx", "A 24296-2024")</f>
        <v/>
      </c>
      <c r="AC39">
        <f>HYPERLINK("https://klasma.github.io/Logging_1081/tillsyn/A 24296-2024 tillsynsbegäran.docx", "A 24296-2024")</f>
        <v/>
      </c>
      <c r="AD39">
        <f>HYPERLINK("https://klasma.github.io/Logging_1081/tillsynsmail/A 24296-2024 tillsynsbegäran mail.docx", "A 24296-2024")</f>
        <v/>
      </c>
    </row>
    <row r="40" ht="15" customHeight="1">
      <c r="A40" t="inlineStr">
        <is>
          <t>A 6431-2025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46321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HYPERLINK("https://klasma.github.io/Logging_1081/artfynd/A 6431-2025 artfynd.xlsx", "A 6431-2025")</f>
        <v/>
      </c>
      <c r="X40">
        <f>HYPERLINK("https://klasma.github.io/Logging_1081/kartor/A 6431-2025 karta.png", "A 6431-2025")</f>
        <v/>
      </c>
      <c r="Y40">
        <f>HYPERLINK("https://klasma.github.io/Logging_1081/kartor_geotiff/A 6431-2025 georefererad karta.tif", "A 6431-2025")</f>
        <v/>
      </c>
      <c r="AA40">
        <f>HYPERLINK("https://klasma.github.io/Logging_1081/klagomål/A 6431-2025 FSC-klagomål.docx", "A 6431-2025")</f>
        <v/>
      </c>
      <c r="AB40">
        <f>HYPERLINK("https://klasma.github.io/Logging_1081/klagomålsmail/A 6431-2025 FSC-klagomål mail.docx", "A 6431-2025")</f>
        <v/>
      </c>
      <c r="AC40">
        <f>HYPERLINK("https://klasma.github.io/Logging_1081/tillsyn/A 6431-2025 tillsynsbegäran.docx", "A 6431-2025")</f>
        <v/>
      </c>
      <c r="AD40">
        <f>HYPERLINK("https://klasma.github.io/Logging_1081/tillsynsmail/A 6431-2025 tillsynsbegäran mail.docx", "A 6431-2025")</f>
        <v/>
      </c>
    </row>
    <row r="41" ht="15" customHeight="1">
      <c r="A41" t="inlineStr">
        <is>
          <t>A 38228-2024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46321</v>
      </c>
      <c r="F41" t="inlineStr">
        <is>
          <t>BLEKINGE LÄN</t>
        </is>
      </c>
      <c r="G41" t="inlineStr">
        <is>
          <t>RONNEBY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HYPERLINK("https://klasma.github.io/Logging_1081/artfynd/A 38228-2024 artfynd.xlsx", "A 38228-2024")</f>
        <v/>
      </c>
      <c r="X41">
        <f>HYPERLINK("https://klasma.github.io/Logging_1081/kartor/A 38228-2024 karta.png", "A 38228-2024")</f>
        <v/>
      </c>
      <c r="Y41">
        <f>HYPERLINK("https://klasma.github.io/Logging_1081/kartor_geotiff/A 38228-2024 georefererad karta.tif", "A 38228-2024")</f>
        <v/>
      </c>
      <c r="AA41">
        <f>HYPERLINK("https://klasma.github.io/Logging_1081/klagomål/A 38228-2024 FSC-klagomål.docx", "A 38228-2024")</f>
        <v/>
      </c>
      <c r="AB41">
        <f>HYPERLINK("https://klasma.github.io/Logging_1081/klagomålsmail/A 38228-2024 FSC-klagomål mail.docx", "A 38228-2024")</f>
        <v/>
      </c>
      <c r="AC41">
        <f>HYPERLINK("https://klasma.github.io/Logging_1081/tillsyn/A 38228-2024 tillsynsbegäran.docx", "A 38228-2024")</f>
        <v/>
      </c>
      <c r="AD41">
        <f>HYPERLINK("https://klasma.github.io/Logging_1081/tillsynsmail/A 38228-2024 tillsynsbegäran mail.docx", "A 38228-2024")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46321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12660-2026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46321</v>
      </c>
      <c r="F43" t="inlineStr">
        <is>
          <t>BLEKINGE LÄN</t>
        </is>
      </c>
      <c r="G43" t="inlineStr">
        <is>
          <t>RONNEBY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12660-2026 artfynd.xlsx", "A 12660-2026")</f>
        <v/>
      </c>
      <c r="X43">
        <f>HYPERLINK("https://klasma.github.io/Logging_1081/kartor/A 12660-2026 karta.png", "A 12660-2026")</f>
        <v/>
      </c>
      <c r="Y43">
        <f>HYPERLINK("https://klasma.github.io/Logging_1081/kartor_geotiff/A 12660-2026 georefererad karta.tif", "A 12660-2026")</f>
        <v/>
      </c>
      <c r="AA43">
        <f>HYPERLINK("https://klasma.github.io/Logging_1081/klagomål/A 12660-2026 FSC-klagomål.docx", "A 12660-2026")</f>
        <v/>
      </c>
      <c r="AB43">
        <f>HYPERLINK("https://klasma.github.io/Logging_1081/klagomålsmail/A 12660-2026 FSC-klagomål mail.docx", "A 12660-2026")</f>
        <v/>
      </c>
      <c r="AC43">
        <f>HYPERLINK("https://klasma.github.io/Logging_1081/tillsyn/A 12660-2026 tillsynsbegäran.docx", "A 12660-2026")</f>
        <v/>
      </c>
      <c r="AD43">
        <f>HYPERLINK("https://klasma.github.io/Logging_1081/tillsynsmail/A 12660-2026 tillsynsbegäran mail.docx", "A 12660-2026")</f>
        <v/>
      </c>
    </row>
    <row r="44" ht="15" customHeight="1">
      <c r="A44" t="inlineStr">
        <is>
          <t>A 19471-2026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46321</v>
      </c>
      <c r="F44" t="inlineStr">
        <is>
          <t>BLEKINGE LÄN</t>
        </is>
      </c>
      <c r="G44" t="inlineStr">
        <is>
          <t>RONNEBY</t>
        </is>
      </c>
      <c r="I44" t="n">
        <v>1.2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19471-2026 artfynd.xlsx", "A 19471-2026")</f>
        <v/>
      </c>
      <c r="X44">
        <f>HYPERLINK("https://klasma.github.io/Logging_1081/kartor/A 19471-2026 karta.png", "A 19471-2026")</f>
        <v/>
      </c>
      <c r="Y44">
        <f>HYPERLINK("https://klasma.github.io/Logging_1081/kartor_geotiff/A 19471-2026 georefererad karta.tif", "A 19471-2026")</f>
        <v/>
      </c>
      <c r="AA44">
        <f>HYPERLINK("https://klasma.github.io/Logging_1081/klagomål/A 19471-2026 FSC-klagomål.docx", "A 19471-2026")</f>
        <v/>
      </c>
      <c r="AB44">
        <f>HYPERLINK("https://klasma.github.io/Logging_1081/klagomålsmail/A 19471-2026 FSC-klagomål mail.docx", "A 19471-2026")</f>
        <v/>
      </c>
      <c r="AC44">
        <f>HYPERLINK("https://klasma.github.io/Logging_1081/tillsyn/A 19471-2026 tillsynsbegäran.docx", "A 19471-2026")</f>
        <v/>
      </c>
      <c r="AD44">
        <f>HYPERLINK("https://klasma.github.io/Logging_1081/tillsynsmail/A 19471-2026 tillsynsbegäran mail.docx", "A 19471-2026")</f>
        <v/>
      </c>
    </row>
    <row r="45" ht="15" customHeight="1">
      <c r="A45" t="inlineStr">
        <is>
          <t>A 43995-2026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46317</v>
      </c>
      <c r="E45" s="1" t="n">
        <v>46321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9.1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Rödlånke</t>
        </is>
      </c>
      <c r="W45">
        <f>HYPERLINK("https://klasma.github.io/Logging_1081/artfynd/A 43995-2026 artfynd.xlsx", "A 43995-2026")</f>
        <v/>
      </c>
      <c r="X45">
        <f>HYPERLINK("https://klasma.github.io/Logging_1081/kartor/A 43995-2026 karta.png", "A 43995-2026")</f>
        <v/>
      </c>
      <c r="Y45">
        <f>HYPERLINK("https://klasma.github.io/Logging_1081/kartor_geotiff/A 43995-2026 georefererad karta.tif", "A 43995-2026")</f>
        <v/>
      </c>
      <c r="AA45">
        <f>HYPERLINK("https://klasma.github.io/Logging_1081/klagomål/A 43995-2026 FSC-klagomål.docx", "A 43995-2026")</f>
        <v/>
      </c>
      <c r="AB45">
        <f>HYPERLINK("https://klasma.github.io/Logging_1081/klagomålsmail/A 43995-2026 FSC-klagomål mail.docx", "A 43995-2026")</f>
        <v/>
      </c>
      <c r="AC45">
        <f>HYPERLINK("https://klasma.github.io/Logging_1081/tillsyn/A 43995-2026 tillsynsbegäran.docx", "A 43995-2026")</f>
        <v/>
      </c>
      <c r="AD45">
        <f>HYPERLINK("https://klasma.github.io/Logging_1081/tillsynsmail/A 43995-2026 tillsynsbegäran mail.docx", "A 43995-2026")</f>
        <v/>
      </c>
    </row>
    <row r="46" ht="15" customHeight="1">
      <c r="A46" t="inlineStr">
        <is>
          <t>A 44073-2026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46317</v>
      </c>
      <c r="E46" s="1" t="n">
        <v>46321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1.6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HYPERLINK("https://klasma.github.io/Logging_1081/artfynd/A 44073-2026 artfynd.xlsx", "A 44073-2026")</f>
        <v/>
      </c>
      <c r="X46">
        <f>HYPERLINK("https://klasma.github.io/Logging_1081/kartor/A 44073-2026 karta.png", "A 44073-2026")</f>
        <v/>
      </c>
      <c r="Y46">
        <f>HYPERLINK("https://klasma.github.io/Logging_1081/kartor_geotiff/A 44073-2026 georefererad karta.tif", "A 44073-2026")</f>
        <v/>
      </c>
      <c r="AA46">
        <f>HYPERLINK("https://klasma.github.io/Logging_1081/klagomål/A 44073-2026 FSC-klagomål.docx", "A 44073-2026")</f>
        <v/>
      </c>
      <c r="AB46">
        <f>HYPERLINK("https://klasma.github.io/Logging_1081/klagomålsmail/A 44073-2026 FSC-klagomål mail.docx", "A 44073-2026")</f>
        <v/>
      </c>
      <c r="AC46">
        <f>HYPERLINK("https://klasma.github.io/Logging_1081/tillsyn/A 44073-2026 tillsynsbegäran.docx", "A 44073-2026")</f>
        <v/>
      </c>
      <c r="AD46">
        <f>HYPERLINK("https://klasma.github.io/Logging_1081/tillsynsmail/A 44073-2026 tillsynsbegäran mail.docx", "A 44073-2026")</f>
        <v/>
      </c>
    </row>
    <row r="47" ht="15" customHeight="1">
      <c r="A47" t="inlineStr">
        <is>
          <t>A 7842-2023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46321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HYPERLINK("https://klasma.github.io/Logging_1081/artfynd/A 7842-2023 artfynd.xlsx", "A 7842-2023")</f>
        <v/>
      </c>
      <c r="X47">
        <f>HYPERLINK("https://klasma.github.io/Logging_1081/kartor/A 7842-2023 karta.png", "A 7842-2023")</f>
        <v/>
      </c>
      <c r="Y47">
        <f>HYPERLINK("https://klasma.github.io/Logging_1081/kartor_geotiff/A 7842-2023 georefererad karta.tif", "A 7842-2023")</f>
        <v/>
      </c>
      <c r="AA47">
        <f>HYPERLINK("https://klasma.github.io/Logging_1081/klagomål/A 7842-2023 FSC-klagomål.docx", "A 7842-2023")</f>
        <v/>
      </c>
      <c r="AB47">
        <f>HYPERLINK("https://klasma.github.io/Logging_1081/klagomålsmail/A 7842-2023 FSC-klagomål mail.docx", "A 7842-2023")</f>
        <v/>
      </c>
      <c r="AC47">
        <f>HYPERLINK("https://klasma.github.io/Logging_1081/tillsyn/A 7842-2023 tillsynsbegäran.docx", "A 7842-2023")</f>
        <v/>
      </c>
      <c r="AD47">
        <f>HYPERLINK("https://klasma.github.io/Logging_1081/tillsynsmail/A 7842-2023 tillsynsbegäran mail.docx", "A 7842-2023")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46321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Grönhjon</t>
        </is>
      </c>
      <c r="W48">
        <f>HYPERLINK("https://klasma.github.io/Logging_1081/artfynd/A 14940-2023 artfynd.xlsx", "A 14940-2023")</f>
        <v/>
      </c>
      <c r="X48">
        <f>HYPERLINK("https://klasma.github.io/Logging_1081/kartor/A 14940-2023 karta.png", "A 14940-2023")</f>
        <v/>
      </c>
      <c r="Y48">
        <f>HYPERLINK("https://klasma.github.io/Logging_1081/kartor_geotiff/A 14940-2023 georefererad karta.tif", "A 14940-2023")</f>
        <v/>
      </c>
      <c r="AA48">
        <f>HYPERLINK("https://klasma.github.io/Logging_1081/klagomål/A 14940-2023 FSC-klagomål.docx", "A 14940-2023")</f>
        <v/>
      </c>
      <c r="AB48">
        <f>HYPERLINK("https://klasma.github.io/Logging_1081/klagomålsmail/A 14940-2023 FSC-klagomål mail.docx", "A 14940-2023")</f>
        <v/>
      </c>
      <c r="AC48">
        <f>HYPERLINK("https://klasma.github.io/Logging_1081/tillsyn/A 14940-2023 tillsynsbegäran.docx", "A 14940-2023")</f>
        <v/>
      </c>
      <c r="AD48">
        <f>HYPERLINK("https://klasma.github.io/Logging_1081/tillsynsmail/A 14940-2023 tillsynsbegäran mail.docx", "A 14940-2023")</f>
        <v/>
      </c>
    </row>
    <row r="49" ht="15" customHeight="1">
      <c r="A49" t="inlineStr">
        <is>
          <t>A 8961-2024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46321</v>
      </c>
      <c r="F49" t="inlineStr">
        <is>
          <t>BLEKINGE LÄN</t>
        </is>
      </c>
      <c r="G49" t="inlineStr">
        <is>
          <t>RONNEBY</t>
        </is>
      </c>
      <c r="I49" t="n">
        <v>19.7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Lopplummer (aggregat)</t>
        </is>
      </c>
      <c r="W49">
        <f>HYPERLINK("https://klasma.github.io/Logging_1081/artfynd/A 8961-2024 artfynd.xlsx", "A 8961-2024")</f>
        <v/>
      </c>
      <c r="X49">
        <f>HYPERLINK("https://klasma.github.io/Logging_1081/kartor/A 8961-2024 karta.png", "A 8961-2024")</f>
        <v/>
      </c>
      <c r="Y49">
        <f>HYPERLINK("https://klasma.github.io/Logging_1081/kartor_geotiff/A 8961-2024 georefererad karta.tif", "A 8961-2024")</f>
        <v/>
      </c>
      <c r="AA49">
        <f>HYPERLINK("https://klasma.github.io/Logging_1081/klagomål/A 8961-2024 FSC-klagomål.docx", "A 8961-2024")</f>
        <v/>
      </c>
      <c r="AB49">
        <f>HYPERLINK("https://klasma.github.io/Logging_1081/klagomålsmail/A 8961-2024 FSC-klagomål mail.docx", "A 8961-2024")</f>
        <v/>
      </c>
      <c r="AC49">
        <f>HYPERLINK("https://klasma.github.io/Logging_1081/tillsyn/A 8961-2024 tillsynsbegäran.docx", "A 8961-2024")</f>
        <v/>
      </c>
      <c r="AD49">
        <f>HYPERLINK("https://klasma.github.io/Logging_1081/tillsynsmail/A 8961-2024 tillsynsbegäran mail.docx", "A 8961-2024")</f>
        <v/>
      </c>
    </row>
    <row r="50" ht="15" customHeight="1">
      <c r="A50" t="inlineStr">
        <is>
          <t>A 41053-2024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45559</v>
      </c>
      <c r="E50" s="1" t="n">
        <v>46321</v>
      </c>
      <c r="F50" t="inlineStr">
        <is>
          <t>BLEKINGE LÄN</t>
        </is>
      </c>
      <c r="G50" t="inlineStr">
        <is>
          <t>RONNEBY</t>
        </is>
      </c>
      <c r="H50" t="inlineStr">
        <is>
          <t>Övriga Aktiebolag</t>
        </is>
      </c>
      <c r="I50" t="n">
        <v>2.8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Hårklomossa</t>
        </is>
      </c>
      <c r="W50">
        <f>HYPERLINK("https://klasma.github.io/Logging_1081/artfynd/A 41053-2024 artfynd.xlsx", "A 41053-2024")</f>
        <v/>
      </c>
      <c r="X50">
        <f>HYPERLINK("https://klasma.github.io/Logging_1081/kartor/A 41053-2024 karta.png", "A 41053-2024")</f>
        <v/>
      </c>
      <c r="Y50">
        <f>HYPERLINK("https://klasma.github.io/Logging_1081/kartor_geotiff/A 41053-2024 georefererad karta.tif", "A 41053-2024")</f>
        <v/>
      </c>
      <c r="AA50">
        <f>HYPERLINK("https://klasma.github.io/Logging_1081/klagomål/A 41053-2024 FSC-klagomål.docx", "A 41053-2024")</f>
        <v/>
      </c>
      <c r="AB50">
        <f>HYPERLINK("https://klasma.github.io/Logging_1081/klagomålsmail/A 41053-2024 FSC-klagomål mail.docx", "A 41053-2024")</f>
        <v/>
      </c>
      <c r="AC50">
        <f>HYPERLINK("https://klasma.github.io/Logging_1081/tillsyn/A 41053-2024 tillsynsbegäran.docx", "A 41053-2024")</f>
        <v/>
      </c>
      <c r="AD50">
        <f>HYPERLINK("https://klasma.github.io/Logging_1081/tillsynsmail/A 41053-2024 tillsynsbegäran mail.docx", "A 41053-2024")</f>
        <v/>
      </c>
    </row>
    <row r="51" ht="15" customHeight="1">
      <c r="A51" t="inlineStr">
        <is>
          <t>A 21446-2023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46321</v>
      </c>
      <c r="F51" t="inlineStr">
        <is>
          <t>BLEKINGE LÄN</t>
        </is>
      </c>
      <c r="G51" t="inlineStr">
        <is>
          <t>RONNEBY</t>
        </is>
      </c>
      <c r="H51" t="inlineStr">
        <is>
          <t>Kommuner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HYPERLINK("https://klasma.github.io/Logging_1081/artfynd/A 21446-2023 artfynd.xlsx", "A 21446-2023")</f>
        <v/>
      </c>
      <c r="X51">
        <f>HYPERLINK("https://klasma.github.io/Logging_1081/kartor/A 21446-2023 karta.png", "A 21446-2023")</f>
        <v/>
      </c>
      <c r="Y51">
        <f>HYPERLINK("https://klasma.github.io/Logging_1081/kartor_geotiff/A 21446-2023 georefererad karta.tif", "A 21446-2023")</f>
        <v/>
      </c>
      <c r="AA51">
        <f>HYPERLINK("https://klasma.github.io/Logging_1081/klagomål/A 21446-2023 FSC-klagomål.docx", "A 21446-2023")</f>
        <v/>
      </c>
      <c r="AB51">
        <f>HYPERLINK("https://klasma.github.io/Logging_1081/klagomålsmail/A 21446-2023 FSC-klagomål mail.docx", "A 21446-2023")</f>
        <v/>
      </c>
      <c r="AC51">
        <f>HYPERLINK("https://klasma.github.io/Logging_1081/tillsyn/A 21446-2023 tillsynsbegäran.docx", "A 21446-2023")</f>
        <v/>
      </c>
      <c r="AD51">
        <f>HYPERLINK("https://klasma.github.io/Logging_1081/tillsynsmail/A 21446-2023 tillsynsbegäran mail.docx", "A 21446-2023")</f>
        <v/>
      </c>
    </row>
    <row r="52" ht="15" customHeight="1">
      <c r="A52" t="inlineStr">
        <is>
          <t>A 45413-2023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46321</v>
      </c>
      <c r="F52" t="inlineStr">
        <is>
          <t>BLEKINGE LÄN</t>
        </is>
      </c>
      <c r="G52" t="inlineStr">
        <is>
          <t>RONNEBY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Jungfrulin</t>
        </is>
      </c>
      <c r="W52">
        <f>HYPERLINK("https://klasma.github.io/Logging_1081/artfynd/A 45413-2023 artfynd.xlsx", "A 45413-2023")</f>
        <v/>
      </c>
      <c r="X52">
        <f>HYPERLINK("https://klasma.github.io/Logging_1081/kartor/A 45413-2023 karta.png", "A 45413-2023")</f>
        <v/>
      </c>
      <c r="Y52">
        <f>HYPERLINK("https://klasma.github.io/Logging_1081/kartor_geotiff/A 45413-2023 georefererad karta.tif", "A 45413-2023")</f>
        <v/>
      </c>
      <c r="AA52">
        <f>HYPERLINK("https://klasma.github.io/Logging_1081/klagomål/A 45413-2023 FSC-klagomål.docx", "A 45413-2023")</f>
        <v/>
      </c>
      <c r="AB52">
        <f>HYPERLINK("https://klasma.github.io/Logging_1081/klagomålsmail/A 45413-2023 FSC-klagomål mail.docx", "A 45413-2023")</f>
        <v/>
      </c>
      <c r="AC52">
        <f>HYPERLINK("https://klasma.github.io/Logging_1081/tillsyn/A 45413-2023 tillsynsbegäran.docx", "A 45413-2023")</f>
        <v/>
      </c>
      <c r="AD52">
        <f>HYPERLINK("https://klasma.github.io/Logging_1081/tillsynsmail/A 45413-2023 tillsynsbegäran mail.docx", "A 45413-2023")</f>
        <v/>
      </c>
    </row>
    <row r="53" ht="15" customHeight="1">
      <c r="A53" t="inlineStr">
        <is>
          <t>A 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46321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0.9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Tibast</t>
        </is>
      </c>
      <c r="W53">
        <f>HYPERLINK("https://klasma.github.io/Logging_1081/artfynd/A 9309-2023 artfynd.xlsx", "A 9309-2023")</f>
        <v/>
      </c>
      <c r="X53">
        <f>HYPERLINK("https://klasma.github.io/Logging_1081/kartor/A 9309-2023 karta.png", "A 9309-2023")</f>
        <v/>
      </c>
      <c r="Y53">
        <f>HYPERLINK("https://klasma.github.io/Logging_1081/kartor_geotiff/A 9309-2023 georefererad karta.tif", "A 9309-2023")</f>
        <v/>
      </c>
      <c r="AA53">
        <f>HYPERLINK("https://klasma.github.io/Logging_1081/klagomål/A 9309-2023 FSC-klagomål.docx", "A 9309-2023")</f>
        <v/>
      </c>
      <c r="AB53">
        <f>HYPERLINK("https://klasma.github.io/Logging_1081/klagomålsmail/A 9309-2023 FSC-klagomål mail.docx", "A 9309-2023")</f>
        <v/>
      </c>
      <c r="AC53">
        <f>HYPERLINK("https://klasma.github.io/Logging_1081/tillsyn/A 9309-2023 tillsynsbegäran.docx", "A 9309-2023")</f>
        <v/>
      </c>
      <c r="AD53">
        <f>HYPERLINK("https://klasma.github.io/Logging_1081/tillsynsmail/A 9309-2023 tillsynsbegäran mail.docx", "A 9309-2023")</f>
        <v/>
      </c>
    </row>
    <row r="54" ht="15" customHeight="1">
      <c r="A54" t="inlineStr">
        <is>
          <t>S 778-2026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46099</v>
      </c>
      <c r="E54" s="1" t="n">
        <v>46321</v>
      </c>
      <c r="F54" t="inlineStr">
        <is>
          <t>BLEKINGE LÄN</t>
        </is>
      </c>
      <c r="G54" t="inlineStr">
        <is>
          <t>RONNEBY</t>
        </is>
      </c>
      <c r="I54" t="n">
        <v>21.9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HYPERLINK("https://klasma.github.io/Logging_1081/artfynd/S 778-2026 artfynd.xlsx", "S 778-2026")</f>
        <v/>
      </c>
      <c r="X54">
        <f>HYPERLINK("https://klasma.github.io/Logging_1081/kartor/S 778-2026 karta.png", "S 778-2026")</f>
        <v/>
      </c>
      <c r="Y54">
        <f>HYPERLINK("https://klasma.github.io/Logging_1081/kartor_geotiff/S 778-2026 georefererad karta.tif", "S 778-2026")</f>
        <v/>
      </c>
      <c r="AA54">
        <f>HYPERLINK("https://klasma.github.io/Logging_1081/klagomål/S 778-2026 FSC-klagomål.docx", "S 778-2026")</f>
        <v/>
      </c>
      <c r="AB54">
        <f>HYPERLINK("https://klasma.github.io/Logging_1081/klagomålsmail/S 778-2026 FSC-klagomål mail.docx", "S 778-2026")</f>
        <v/>
      </c>
      <c r="AC54">
        <f>HYPERLINK("https://klasma.github.io/Logging_1081/tillsyn/S 778-2026 tillsynsbegäran.docx", "S 778-2026")</f>
        <v/>
      </c>
      <c r="AD54">
        <f>HYPERLINK("https://klasma.github.io/Logging_1081/tillsynsmail/S 778-2026 tillsynsbegäran mail.docx", "S 778-2026")</f>
        <v/>
      </c>
      <c r="AE54">
        <f>HYPERLINK("https://klasma.github.io/Logging_1081/fåglar/S 778-2026 prioriterade fågelarter.docx", "S 778-2026")</f>
        <v/>
      </c>
    </row>
    <row r="55" ht="15" customHeight="1">
      <c r="A55" t="inlineStr">
        <is>
          <t>S 1186-2026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46139</v>
      </c>
      <c r="E55" s="1" t="n">
        <v>46321</v>
      </c>
      <c r="F55" t="inlineStr">
        <is>
          <t>BLEKINGE LÄN</t>
        </is>
      </c>
      <c r="G55" t="inlineStr">
        <is>
          <t>RONNEBY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Grusnejlika</t>
        </is>
      </c>
      <c r="W55">
        <f>HYPERLINK("https://klasma.github.io/Logging_1081/artfynd/S 1186-2026 artfynd.xlsx", "S 1186-2026")</f>
        <v/>
      </c>
      <c r="X55">
        <f>HYPERLINK("https://klasma.github.io/Logging_1081/kartor/S 1186-2026 karta.png", "S 1186-2026")</f>
        <v/>
      </c>
      <c r="Y55">
        <f>HYPERLINK("https://klasma.github.io/Logging_1081/kartor_geotiff/S 1186-2026 georefererad karta.tif", "S 1186-2026")</f>
        <v/>
      </c>
      <c r="AA55">
        <f>HYPERLINK("https://klasma.github.io/Logging_1081/klagomål/S 1186-2026 FSC-klagomål.docx", "S 1186-2026")</f>
        <v/>
      </c>
      <c r="AB55">
        <f>HYPERLINK("https://klasma.github.io/Logging_1081/klagomålsmail/S 1186-2026 FSC-klagomål mail.docx", "S 1186-2026")</f>
        <v/>
      </c>
      <c r="AC55">
        <f>HYPERLINK("https://klasma.github.io/Logging_1081/tillsyn/S 1186-2026 tillsynsbegäran.docx", "S 1186-2026")</f>
        <v/>
      </c>
      <c r="AD55">
        <f>HYPERLINK("https://klasma.github.io/Logging_1081/tillsynsmail/S 1186-2026 tillsynsbegäran mail.docx", "S 1186-2026")</f>
        <v/>
      </c>
    </row>
    <row r="56" ht="15" customHeight="1">
      <c r="A56" t="inlineStr">
        <is>
          <t>A 72789-2021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44546</v>
      </c>
      <c r="E56" s="1" t="n">
        <v>46321</v>
      </c>
      <c r="F56" t="inlineStr">
        <is>
          <t>BLEKINGE LÄN</t>
        </is>
      </c>
      <c r="G56" t="inlineStr">
        <is>
          <t>RONNEBY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46321</v>
      </c>
      <c r="F57" t="inlineStr">
        <is>
          <t>BLEKINGE LÄN</t>
        </is>
      </c>
      <c r="G57" t="inlineStr">
        <is>
          <t>RONNEBY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46321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46321</v>
      </c>
      <c r="F59" t="inlineStr">
        <is>
          <t>BLEKINGE LÄN</t>
        </is>
      </c>
      <c r="G59" t="inlineStr">
        <is>
          <t>RONNEBY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46321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46321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46321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16907-2022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44676</v>
      </c>
      <c r="E63" s="1" t="n">
        <v>46321</v>
      </c>
      <c r="F63" t="inlineStr">
        <is>
          <t>BLEKINGE LÄN</t>
        </is>
      </c>
      <c r="G63" t="inlineStr">
        <is>
          <t>RONNEBY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46321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46321</v>
      </c>
      <c r="F65" t="inlineStr">
        <is>
          <t>BLEKINGE LÄN</t>
        </is>
      </c>
      <c r="G65" t="inlineStr">
        <is>
          <t>RONNEBY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46321</v>
      </c>
      <c r="F66" t="inlineStr">
        <is>
          <t>BLEKINGE LÄN</t>
        </is>
      </c>
      <c r="G66" t="inlineStr">
        <is>
          <t>RONNEBY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46321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46321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46321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46321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46321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46321</v>
      </c>
      <c r="F72" t="inlineStr">
        <is>
          <t>BLEKINGE LÄN</t>
        </is>
      </c>
      <c r="G72" t="inlineStr">
        <is>
          <t>RONNEBY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46321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46321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46321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46321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46321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46321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46321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46321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46321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46321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46321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46321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46321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46321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46321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46321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46321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46321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66288-2021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46321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46321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46321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46321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46321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46321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46321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46321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46321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46321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46321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46321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46321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46321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46321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46321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46321</v>
      </c>
      <c r="F107" t="inlineStr">
        <is>
          <t>BLEKINGE LÄN</t>
        </is>
      </c>
      <c r="G107" t="inlineStr">
        <is>
          <t>RONNEBY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46321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46321</v>
      </c>
      <c r="F109" t="inlineStr">
        <is>
          <t>BLEKINGE LÄN</t>
        </is>
      </c>
      <c r="G109" t="inlineStr">
        <is>
          <t>RONNEBY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46321</v>
      </c>
      <c r="F110" t="inlineStr">
        <is>
          <t>BLEKINGE LÄN</t>
        </is>
      </c>
      <c r="G110" t="inlineStr">
        <is>
          <t>RONNEBY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46321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11331-2022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46321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46321</v>
      </c>
      <c r="F113" t="inlineStr">
        <is>
          <t>BLEKINGE LÄN</t>
        </is>
      </c>
      <c r="G113" t="inlineStr">
        <is>
          <t>RONNEBY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46321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45195</v>
      </c>
      <c r="E115" s="1" t="n">
        <v>46321</v>
      </c>
      <c r="F115" t="inlineStr">
        <is>
          <t>BLEKINGE LÄN</t>
        </is>
      </c>
      <c r="G115" t="inlineStr">
        <is>
          <t>RONNEBY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46321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46321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45402</v>
      </c>
      <c r="E118" s="1" t="n">
        <v>46321</v>
      </c>
      <c r="F118" t="inlineStr">
        <is>
          <t>BLEKINGE LÄN</t>
        </is>
      </c>
      <c r="G118" t="inlineStr">
        <is>
          <t>RONNEBY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46321</v>
      </c>
      <c r="F119" t="inlineStr">
        <is>
          <t>BLEKINGE LÄN</t>
        </is>
      </c>
      <c r="G119" t="inlineStr">
        <is>
          <t>RONNEBY</t>
        </is>
      </c>
      <c r="H119" t="inlineStr">
        <is>
          <t>Övriga Aktiebolag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46321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44778</v>
      </c>
      <c r="E121" s="1" t="n">
        <v>46321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46321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46321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46321</v>
      </c>
      <c r="F124" t="inlineStr">
        <is>
          <t>BLEKINGE LÄN</t>
        </is>
      </c>
      <c r="G124" t="inlineStr">
        <is>
          <t>RONNEBY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45892</v>
      </c>
      <c r="E125" s="1" t="n">
        <v>46321</v>
      </c>
      <c r="F125" t="inlineStr">
        <is>
          <t>BLEKINGE LÄN</t>
        </is>
      </c>
      <c r="G125" t="inlineStr">
        <is>
          <t>RONNEBY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46321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46321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46321</v>
      </c>
      <c r="F128" t="inlineStr">
        <is>
          <t>BLEKINGE LÄN</t>
        </is>
      </c>
      <c r="G128" t="inlineStr">
        <is>
          <t>RONNEBY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45536</v>
      </c>
      <c r="E129" s="1" t="n">
        <v>46321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46321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46321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46321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46321</v>
      </c>
      <c r="F133" t="inlineStr">
        <is>
          <t>BLEKINGE LÄN</t>
        </is>
      </c>
      <c r="G133" t="inlineStr">
        <is>
          <t>RONNEBY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44939</v>
      </c>
      <c r="E134" s="1" t="n">
        <v>46321</v>
      </c>
      <c r="F134" t="inlineStr">
        <is>
          <t>BLEKINGE LÄN</t>
        </is>
      </c>
      <c r="G134" t="inlineStr">
        <is>
          <t>RONNEBY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46321</v>
      </c>
      <c r="F135" t="inlineStr">
        <is>
          <t>BLEKINGE LÄN</t>
        </is>
      </c>
      <c r="G135" t="inlineStr">
        <is>
          <t>RONNEBY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46321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46321</v>
      </c>
      <c r="F137" t="inlineStr">
        <is>
          <t>BLEKINGE LÄN</t>
        </is>
      </c>
      <c r="G137" t="inlineStr">
        <is>
          <t>RONNEBY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45082</v>
      </c>
      <c r="E138" s="1" t="n">
        <v>46321</v>
      </c>
      <c r="F138" t="inlineStr">
        <is>
          <t>BLEKINGE LÄN</t>
        </is>
      </c>
      <c r="G138" t="inlineStr">
        <is>
          <t>RONNEBY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46321</v>
      </c>
      <c r="F139" t="inlineStr">
        <is>
          <t>BLEKINGE LÄN</t>
        </is>
      </c>
      <c r="G139" t="inlineStr">
        <is>
          <t>RONNEBY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46321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46321</v>
      </c>
      <c r="F141" t="inlineStr">
        <is>
          <t>BLEKINGE LÄN</t>
        </is>
      </c>
      <c r="G141" t="inlineStr">
        <is>
          <t>RONNEBY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46321</v>
      </c>
      <c r="F142" t="inlineStr">
        <is>
          <t>BLEKINGE LÄN</t>
        </is>
      </c>
      <c r="G142" t="inlineStr">
        <is>
          <t>RONNEBY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46321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46321</v>
      </c>
      <c r="F144" t="inlineStr">
        <is>
          <t>BLEKINGE LÄN</t>
        </is>
      </c>
      <c r="G144" t="inlineStr">
        <is>
          <t>RONNEBY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43291-2025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45910</v>
      </c>
      <c r="E145" s="1" t="n">
        <v>46321</v>
      </c>
      <c r="F145" t="inlineStr">
        <is>
          <t>BLEKINGE LÄN</t>
        </is>
      </c>
      <c r="G145" t="inlineStr">
        <is>
          <t>RONNEBY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45843</v>
      </c>
      <c r="E146" s="1" t="n">
        <v>46321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46321</v>
      </c>
      <c r="F147" t="inlineStr">
        <is>
          <t>BLEKINGE LÄN</t>
        </is>
      </c>
      <c r="G147" t="inlineStr">
        <is>
          <t>RONNEBY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46321</v>
      </c>
      <c r="F148" t="inlineStr">
        <is>
          <t>BLEKINGE LÄN</t>
        </is>
      </c>
      <c r="G148" t="inlineStr">
        <is>
          <t>RONNEBY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46321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46321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46321</v>
      </c>
      <c r="F151" t="inlineStr">
        <is>
          <t>BLEKINGE LÄN</t>
        </is>
      </c>
      <c r="G151" t="inlineStr">
        <is>
          <t>RONNEBY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46321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33535-2025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45841</v>
      </c>
      <c r="E153" s="1" t="n">
        <v>46321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46321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46321</v>
      </c>
      <c r="F155" t="inlineStr">
        <is>
          <t>BLEKINGE LÄN</t>
        </is>
      </c>
      <c r="G155" t="inlineStr">
        <is>
          <t>RONNEBY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46321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45057</v>
      </c>
      <c r="E157" s="1" t="n">
        <v>46321</v>
      </c>
      <c r="F157" t="inlineStr">
        <is>
          <t>BLEKINGE LÄN</t>
        </is>
      </c>
      <c r="G157" t="inlineStr">
        <is>
          <t>RONNEBY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46321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46321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46321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46164</v>
      </c>
      <c r="E161" s="1" t="n">
        <v>46321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46321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45915</v>
      </c>
      <c r="E163" s="1" t="n">
        <v>46321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46321</v>
      </c>
      <c r="F164" t="inlineStr">
        <is>
          <t>BLEKINGE LÄN</t>
        </is>
      </c>
      <c r="G164" t="inlineStr">
        <is>
          <t>RONNEBY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46321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46321</v>
      </c>
      <c r="F166" t="inlineStr">
        <is>
          <t>BLEKINGE LÄN</t>
        </is>
      </c>
      <c r="G166" t="inlineStr">
        <is>
          <t>RONNEBY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46321</v>
      </c>
      <c r="F167" t="inlineStr">
        <is>
          <t>BLEKINGE LÄN</t>
        </is>
      </c>
      <c r="G167" t="inlineStr">
        <is>
          <t>RONNEBY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28975-2023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45104</v>
      </c>
      <c r="E168" s="1" t="n">
        <v>46321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46321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46321</v>
      </c>
      <c r="F170" t="inlineStr">
        <is>
          <t>BLEKINGE LÄN</t>
        </is>
      </c>
      <c r="G170" t="inlineStr">
        <is>
          <t>RONNEBY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46321</v>
      </c>
      <c r="F171" t="inlineStr">
        <is>
          <t>BLEKINGE LÄN</t>
        </is>
      </c>
      <c r="G171" t="inlineStr">
        <is>
          <t>RONNEBY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46321</v>
      </c>
      <c r="F172" t="inlineStr">
        <is>
          <t>BLEKINGE LÄN</t>
        </is>
      </c>
      <c r="G172" t="inlineStr">
        <is>
          <t>RONNEBY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46321</v>
      </c>
      <c r="F173" t="inlineStr">
        <is>
          <t>BLEKINGE LÄN</t>
        </is>
      </c>
      <c r="G173" t="inlineStr">
        <is>
          <t>RONNEBY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46321</v>
      </c>
      <c r="F174" t="inlineStr">
        <is>
          <t>BLEKINGE LÄN</t>
        </is>
      </c>
      <c r="G174" t="inlineStr">
        <is>
          <t>RONNEBY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46321</v>
      </c>
      <c r="F175" t="inlineStr">
        <is>
          <t>BLEKINGE LÄN</t>
        </is>
      </c>
      <c r="G175" t="inlineStr">
        <is>
          <t>RONNEBY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46321</v>
      </c>
      <c r="F176" t="inlineStr">
        <is>
          <t>BLEKINGE LÄN</t>
        </is>
      </c>
      <c r="G176" t="inlineStr">
        <is>
          <t>RONNEBY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46321</v>
      </c>
      <c r="F177" t="inlineStr">
        <is>
          <t>BLEKINGE LÄN</t>
        </is>
      </c>
      <c r="G177" t="inlineStr">
        <is>
          <t>RONNEBY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46321</v>
      </c>
      <c r="F178" t="inlineStr">
        <is>
          <t>BLEKINGE LÄN</t>
        </is>
      </c>
      <c r="G178" t="inlineStr">
        <is>
          <t>RONNEBY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46321</v>
      </c>
      <c r="F179" t="inlineStr">
        <is>
          <t>BLEKINGE LÄN</t>
        </is>
      </c>
      <c r="G179" t="inlineStr">
        <is>
          <t>RONNEBY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46321</v>
      </c>
      <c r="F180" t="inlineStr">
        <is>
          <t>BLEKINGE LÄN</t>
        </is>
      </c>
      <c r="G180" t="inlineStr">
        <is>
          <t>RONNEBY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46321</v>
      </c>
      <c r="F181" t="inlineStr">
        <is>
          <t>BLEKINGE LÄN</t>
        </is>
      </c>
      <c r="G181" t="inlineStr">
        <is>
          <t>RONNEBY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46321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46321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46321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45932</v>
      </c>
      <c r="E185" s="1" t="n">
        <v>46321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46321</v>
      </c>
      <c r="F186" t="inlineStr">
        <is>
          <t>BLEKINGE LÄN</t>
        </is>
      </c>
      <c r="G186" t="inlineStr">
        <is>
          <t>RONNEBY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46321</v>
      </c>
      <c r="F187" t="inlineStr">
        <is>
          <t>BLEKINGE LÄN</t>
        </is>
      </c>
      <c r="G187" t="inlineStr">
        <is>
          <t>RONNEBY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46321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46321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46321</v>
      </c>
      <c r="F190" t="inlineStr">
        <is>
          <t>BLEKINGE LÄN</t>
        </is>
      </c>
      <c r="G190" t="inlineStr">
        <is>
          <t>RONNEBY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46321</v>
      </c>
      <c r="F191" t="inlineStr">
        <is>
          <t>BLEKINGE LÄN</t>
        </is>
      </c>
      <c r="G191" t="inlineStr">
        <is>
          <t>RONNEBY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45360</v>
      </c>
      <c r="E192" s="1" t="n">
        <v>46321</v>
      </c>
      <c r="F192" t="inlineStr">
        <is>
          <t>BLEKINGE LÄN</t>
        </is>
      </c>
      <c r="G192" t="inlineStr">
        <is>
          <t>RONNEBY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46321</v>
      </c>
      <c r="F193" t="inlineStr">
        <is>
          <t>BLEKINGE LÄN</t>
        </is>
      </c>
      <c r="G193" t="inlineStr">
        <is>
          <t>RONNEBY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46321</v>
      </c>
      <c r="F194" t="inlineStr">
        <is>
          <t>BLEKINGE LÄN</t>
        </is>
      </c>
      <c r="G194" t="inlineStr">
        <is>
          <t>RONNEBY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46321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46321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46321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45381</v>
      </c>
      <c r="E198" s="1" t="n">
        <v>46321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46321</v>
      </c>
      <c r="F199" t="inlineStr">
        <is>
          <t>BLEKINGE LÄN</t>
        </is>
      </c>
      <c r="G199" t="inlineStr">
        <is>
          <t>RONNEBY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46321</v>
      </c>
      <c r="F200" t="inlineStr">
        <is>
          <t>BLEKINGE LÄN</t>
        </is>
      </c>
      <c r="G200" t="inlineStr">
        <is>
          <t>RONNEBY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46321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46321</v>
      </c>
      <c r="F202" t="inlineStr">
        <is>
          <t>BLEKINGE LÄN</t>
        </is>
      </c>
      <c r="G202" t="inlineStr">
        <is>
          <t>RONNEBY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46321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46321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46321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46321</v>
      </c>
      <c r="F206" t="inlineStr">
        <is>
          <t>BLEKINGE LÄN</t>
        </is>
      </c>
      <c r="G206" t="inlineStr">
        <is>
          <t>RONNEBY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46321</v>
      </c>
      <c r="F207" t="inlineStr">
        <is>
          <t>BLEKINGE LÄN</t>
        </is>
      </c>
      <c r="G207" t="inlineStr">
        <is>
          <t>RONNEBY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46321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46321</v>
      </c>
      <c r="F209" t="inlineStr">
        <is>
          <t>BLEKINGE LÄN</t>
        </is>
      </c>
      <c r="G209" t="inlineStr">
        <is>
          <t>RONNEBY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46321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46321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46321</v>
      </c>
      <c r="F212" t="inlineStr">
        <is>
          <t>BLEKINGE LÄN</t>
        </is>
      </c>
      <c r="G212" t="inlineStr">
        <is>
          <t>RONNEBY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46321</v>
      </c>
      <c r="F213" t="inlineStr">
        <is>
          <t>BLEKINGE LÄN</t>
        </is>
      </c>
      <c r="G213" t="inlineStr">
        <is>
          <t>RONNEBY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45402</v>
      </c>
      <c r="E214" s="1" t="n">
        <v>46321</v>
      </c>
      <c r="F214" t="inlineStr">
        <is>
          <t>BLEKINGE LÄN</t>
        </is>
      </c>
      <c r="G214" t="inlineStr">
        <is>
          <t>RONNEBY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46321</v>
      </c>
      <c r="F215" t="inlineStr">
        <is>
          <t>BLEKINGE LÄN</t>
        </is>
      </c>
      <c r="G215" t="inlineStr">
        <is>
          <t>RONNEBY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46321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46321</v>
      </c>
      <c r="F217" t="inlineStr">
        <is>
          <t>BLEKINGE LÄN</t>
        </is>
      </c>
      <c r="G217" t="inlineStr">
        <is>
          <t>RONNEBY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44756</v>
      </c>
      <c r="E218" s="1" t="n">
        <v>46321</v>
      </c>
      <c r="F218" t="inlineStr">
        <is>
          <t>BLEKINGE LÄN</t>
        </is>
      </c>
      <c r="G218" t="inlineStr">
        <is>
          <t>RONNEBY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46321</v>
      </c>
      <c r="F219" t="inlineStr">
        <is>
          <t>BLEKINGE LÄN</t>
        </is>
      </c>
      <c r="G219" t="inlineStr">
        <is>
          <t>RONNEBY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46321</v>
      </c>
      <c r="F220" t="inlineStr">
        <is>
          <t>BLEKINGE LÄN</t>
        </is>
      </c>
      <c r="G220" t="inlineStr">
        <is>
          <t>RONNEBY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46321</v>
      </c>
      <c r="F221" t="inlineStr">
        <is>
          <t>BLEKINGE LÄN</t>
        </is>
      </c>
      <c r="G221" t="inlineStr">
        <is>
          <t>RONNEBY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46321</v>
      </c>
      <c r="F222" t="inlineStr">
        <is>
          <t>BLEKINGE LÄN</t>
        </is>
      </c>
      <c r="G222" t="inlineStr">
        <is>
          <t>RONNEBY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45360</v>
      </c>
      <c r="E223" s="1" t="n">
        <v>46321</v>
      </c>
      <c r="F223" t="inlineStr">
        <is>
          <t>BLEKINGE LÄN</t>
        </is>
      </c>
      <c r="G223" t="inlineStr">
        <is>
          <t>RONNEBY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46321</v>
      </c>
      <c r="F224" t="inlineStr">
        <is>
          <t>BLEKINGE LÄN</t>
        </is>
      </c>
      <c r="G224" t="inlineStr">
        <is>
          <t>RONNEBY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45921</v>
      </c>
      <c r="E225" s="1" t="n">
        <v>46321</v>
      </c>
      <c r="F225" t="inlineStr">
        <is>
          <t>BLEKINGE LÄN</t>
        </is>
      </c>
      <c r="G225" t="inlineStr">
        <is>
          <t>RONNEBY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28732-2026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46198</v>
      </c>
      <c r="E226" s="1" t="n">
        <v>46321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46321</v>
      </c>
      <c r="F227" t="inlineStr">
        <is>
          <t>BLEKINGE LÄN</t>
        </is>
      </c>
      <c r="G227" t="inlineStr">
        <is>
          <t>RONNEBY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46321</v>
      </c>
      <c r="F228" t="inlineStr">
        <is>
          <t>BLEKINGE LÄN</t>
        </is>
      </c>
      <c r="G228" t="inlineStr">
        <is>
          <t>RONNEBY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46321</v>
      </c>
      <c r="F229" t="inlineStr">
        <is>
          <t>BLEKINGE LÄN</t>
        </is>
      </c>
      <c r="G229" t="inlineStr">
        <is>
          <t>RONNEBY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46321</v>
      </c>
      <c r="F230" t="inlineStr">
        <is>
          <t>BLEKINGE LÄN</t>
        </is>
      </c>
      <c r="G230" t="inlineStr">
        <is>
          <t>RONNEBY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46321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46321</v>
      </c>
      <c r="F232" t="inlineStr">
        <is>
          <t>BLEKINGE LÄN</t>
        </is>
      </c>
      <c r="G232" t="inlineStr">
        <is>
          <t>RONNEBY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46321</v>
      </c>
      <c r="F233" t="inlineStr">
        <is>
          <t>BLEKINGE LÄN</t>
        </is>
      </c>
      <c r="G233" t="inlineStr">
        <is>
          <t>RONNEBY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46321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45121</v>
      </c>
      <c r="E235" s="1" t="n">
        <v>46321</v>
      </c>
      <c r="F235" t="inlineStr">
        <is>
          <t>BLEKINGE LÄN</t>
        </is>
      </c>
      <c r="G235" t="inlineStr">
        <is>
          <t>RONNEBY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46321</v>
      </c>
      <c r="F236" t="inlineStr">
        <is>
          <t>BLEKINGE LÄN</t>
        </is>
      </c>
      <c r="G236" t="inlineStr">
        <is>
          <t>RONNEBY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46321</v>
      </c>
      <c r="F237" t="inlineStr">
        <is>
          <t>BLEKINGE LÄN</t>
        </is>
      </c>
      <c r="G237" t="inlineStr">
        <is>
          <t>RONNEBY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46321</v>
      </c>
      <c r="F238" t="inlineStr">
        <is>
          <t>BLEKINGE LÄN</t>
        </is>
      </c>
      <c r="G238" t="inlineStr">
        <is>
          <t>RONNEBY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44774</v>
      </c>
      <c r="E239" s="1" t="n">
        <v>46321</v>
      </c>
      <c r="F239" t="inlineStr">
        <is>
          <t>BLEKINGE LÄN</t>
        </is>
      </c>
      <c r="G239" t="inlineStr">
        <is>
          <t>RONNEBY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46321</v>
      </c>
      <c r="F240" t="inlineStr">
        <is>
          <t>BLEKINGE LÄN</t>
        </is>
      </c>
      <c r="G240" t="inlineStr">
        <is>
          <t>RONNEBY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46321</v>
      </c>
      <c r="F241" t="inlineStr">
        <is>
          <t>BLEKINGE LÄN</t>
        </is>
      </c>
      <c r="G241" t="inlineStr">
        <is>
          <t>RONNEBY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46321</v>
      </c>
      <c r="F242" t="inlineStr">
        <is>
          <t>BLEKINGE LÄN</t>
        </is>
      </c>
      <c r="G242" t="inlineStr">
        <is>
          <t>RONNEBY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46321</v>
      </c>
      <c r="F243" t="inlineStr">
        <is>
          <t>BLEKINGE LÄN</t>
        </is>
      </c>
      <c r="G243" t="inlineStr">
        <is>
          <t>RONNEBY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46321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46321</v>
      </c>
      <c r="F245" t="inlineStr">
        <is>
          <t>BLEKINGE LÄN</t>
        </is>
      </c>
      <c r="G245" t="inlineStr">
        <is>
          <t>RONNEBY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46321</v>
      </c>
      <c r="F246" t="inlineStr">
        <is>
          <t>BLEKINGE LÄN</t>
        </is>
      </c>
      <c r="G246" t="inlineStr">
        <is>
          <t>RONNEBY</t>
        </is>
      </c>
      <c r="H246" t="inlineStr">
        <is>
          <t>Kommuner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46321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45430</v>
      </c>
      <c r="E248" s="1" t="n">
        <v>46321</v>
      </c>
      <c r="F248" t="inlineStr">
        <is>
          <t>BLEKINGE LÄN</t>
        </is>
      </c>
      <c r="G248" t="inlineStr">
        <is>
          <t>RONNEBY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45986</v>
      </c>
      <c r="E249" s="1" t="n">
        <v>46321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46321</v>
      </c>
      <c r="F250" t="inlineStr">
        <is>
          <t>BLEKINGE LÄN</t>
        </is>
      </c>
      <c r="G250" t="inlineStr">
        <is>
          <t>RONNEBY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46321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46321</v>
      </c>
      <c r="F252" t="inlineStr">
        <is>
          <t>BLEKINGE LÄN</t>
        </is>
      </c>
      <c r="G252" t="inlineStr">
        <is>
          <t>RONNEBY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46321</v>
      </c>
      <c r="F253" t="inlineStr">
        <is>
          <t>BLEKINGE LÄN</t>
        </is>
      </c>
      <c r="G253" t="inlineStr">
        <is>
          <t>RONNEBY</t>
        </is>
      </c>
      <c r="H253" t="inlineStr">
        <is>
          <t>Kommuner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46321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9.199999999999999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63881-2023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46321</v>
      </c>
      <c r="F255" t="inlineStr">
        <is>
          <t>BLEKINGE LÄN</t>
        </is>
      </c>
      <c r="G255" t="inlineStr">
        <is>
          <t>RONNEBY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45019</v>
      </c>
      <c r="E256" s="1" t="n">
        <v>46321</v>
      </c>
      <c r="F256" t="inlineStr">
        <is>
          <t>BLEKINGE LÄN</t>
        </is>
      </c>
      <c r="G256" t="inlineStr">
        <is>
          <t>RONNEBY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46321</v>
      </c>
      <c r="F257" t="inlineStr">
        <is>
          <t>BLEKINGE LÄN</t>
        </is>
      </c>
      <c r="G257" t="inlineStr">
        <is>
          <t>RONNEBY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46209</v>
      </c>
      <c r="E258" s="1" t="n">
        <v>46321</v>
      </c>
      <c r="F258" t="inlineStr">
        <is>
          <t>BLEKINGE LÄN</t>
        </is>
      </c>
      <c r="G258" t="inlineStr">
        <is>
          <t>RONNEBY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46321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46321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46321</v>
      </c>
      <c r="F261" t="inlineStr">
        <is>
          <t>BLEKINGE LÄN</t>
        </is>
      </c>
      <c r="G261" t="inlineStr">
        <is>
          <t>RONNEBY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46321</v>
      </c>
      <c r="F262" t="inlineStr">
        <is>
          <t>BLEKINGE LÄN</t>
        </is>
      </c>
      <c r="G262" t="inlineStr">
        <is>
          <t>RONNEBY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46321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46321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46321</v>
      </c>
      <c r="F265" t="inlineStr">
        <is>
          <t>BLEKINGE LÄN</t>
        </is>
      </c>
      <c r="G265" t="inlineStr">
        <is>
          <t>RONNEBY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46321</v>
      </c>
      <c r="F266" t="inlineStr">
        <is>
          <t>BLEKINGE LÄN</t>
        </is>
      </c>
      <c r="G266" t="inlineStr">
        <is>
          <t>RONNEBY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46321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46212</v>
      </c>
      <c r="E268" s="1" t="n">
        <v>46321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46212</v>
      </c>
      <c r="E269" s="1" t="n">
        <v>46321</v>
      </c>
      <c r="F269" t="inlineStr">
        <is>
          <t>BLEKINGE LÄN</t>
        </is>
      </c>
      <c r="G269" t="inlineStr">
        <is>
          <t>RONNEBY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46321</v>
      </c>
      <c r="F270" t="inlineStr">
        <is>
          <t>BLEKINGE LÄN</t>
        </is>
      </c>
      <c r="G270" t="inlineStr">
        <is>
          <t>RONNEBY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46321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46321</v>
      </c>
      <c r="F272" t="inlineStr">
        <is>
          <t>BLEKINGE LÄN</t>
        </is>
      </c>
      <c r="G272" t="inlineStr">
        <is>
          <t>RONNEBY</t>
        </is>
      </c>
      <c r="I272" t="n">
        <v>14.4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46321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46321</v>
      </c>
      <c r="F274" t="inlineStr">
        <is>
          <t>BLEKINGE LÄN</t>
        </is>
      </c>
      <c r="G274" t="inlineStr">
        <is>
          <t>RONNEBY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46216</v>
      </c>
      <c r="E275" s="1" t="n">
        <v>46321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46321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46321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46218</v>
      </c>
      <c r="E278" s="1" t="n">
        <v>46321</v>
      </c>
      <c r="F278" t="inlineStr">
        <is>
          <t>BLEKINGE LÄN</t>
        </is>
      </c>
      <c r="G278" t="inlineStr">
        <is>
          <t>RONNEBY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46321</v>
      </c>
      <c r="F279" t="inlineStr">
        <is>
          <t>BLEKINGE LÄN</t>
        </is>
      </c>
      <c r="G279" t="inlineStr">
        <is>
          <t>RONNEBY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44884</v>
      </c>
      <c r="E280" s="1" t="n">
        <v>46321</v>
      </c>
      <c r="F280" t="inlineStr">
        <is>
          <t>BLEKINGE LÄN</t>
        </is>
      </c>
      <c r="G280" t="inlineStr">
        <is>
          <t>RONNEBY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46321</v>
      </c>
      <c r="F281" t="inlineStr">
        <is>
          <t>BLEKINGE LÄN</t>
        </is>
      </c>
      <c r="G281" t="inlineStr">
        <is>
          <t>RONNEBY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45357</v>
      </c>
      <c r="E282" s="1" t="n">
        <v>46321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46321</v>
      </c>
      <c r="F283" t="inlineStr">
        <is>
          <t>BLEKINGE LÄN</t>
        </is>
      </c>
      <c r="G283" t="inlineStr">
        <is>
          <t>RONNEBY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46321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46321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45394</v>
      </c>
      <c r="E286" s="1" t="n">
        <v>46321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46321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46321</v>
      </c>
      <c r="F288" t="inlineStr">
        <is>
          <t>BLEKINGE LÄN</t>
        </is>
      </c>
      <c r="G288" t="inlineStr">
        <is>
          <t>RONNEBY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46321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46321</v>
      </c>
      <c r="F290" t="inlineStr">
        <is>
          <t>BLEKINGE LÄN</t>
        </is>
      </c>
      <c r="G290" t="inlineStr">
        <is>
          <t>RONNEBY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46321</v>
      </c>
      <c r="F291" t="inlineStr">
        <is>
          <t>BLEKINGE LÄN</t>
        </is>
      </c>
      <c r="G291" t="inlineStr">
        <is>
          <t>RONNEBY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46321</v>
      </c>
      <c r="F292" t="inlineStr">
        <is>
          <t>BLEKINGE LÄN</t>
        </is>
      </c>
      <c r="G292" t="inlineStr">
        <is>
          <t>RONNEBY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46321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46321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46226</v>
      </c>
      <c r="E295" s="1" t="n">
        <v>46321</v>
      </c>
      <c r="F295" t="inlineStr">
        <is>
          <t>BLEKINGE LÄN</t>
        </is>
      </c>
      <c r="G295" t="inlineStr">
        <is>
          <t>RONNEBY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46321</v>
      </c>
      <c r="F296" t="inlineStr">
        <is>
          <t>BLEKINGE LÄN</t>
        </is>
      </c>
      <c r="G296" t="inlineStr">
        <is>
          <t>RONNEBY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62465-2025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46007</v>
      </c>
      <c r="E297" s="1" t="n">
        <v>46321</v>
      </c>
      <c r="F297" t="inlineStr">
        <is>
          <t>BLEKINGE LÄN</t>
        </is>
      </c>
      <c r="G297" t="inlineStr">
        <is>
          <t>RONNEBY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46321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46321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45785</v>
      </c>
      <c r="E300" s="1" t="n">
        <v>46321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45724</v>
      </c>
      <c r="E301" s="1" t="n">
        <v>46321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46321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46321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46321</v>
      </c>
      <c r="F304" t="inlineStr">
        <is>
          <t>BLEKINGE LÄN</t>
        </is>
      </c>
      <c r="G304" t="inlineStr">
        <is>
          <t>RONNEBY</t>
        </is>
      </c>
      <c r="I304" t="n">
        <v>11.2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46321</v>
      </c>
      <c r="F305" t="inlineStr">
        <is>
          <t>BLEKINGE LÄN</t>
        </is>
      </c>
      <c r="G305" t="inlineStr">
        <is>
          <t>RONNEBY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46321</v>
      </c>
      <c r="F306" t="inlineStr">
        <is>
          <t>BLEKINGE LÄN</t>
        </is>
      </c>
      <c r="G306" t="inlineStr">
        <is>
          <t>RONNEBY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46281</v>
      </c>
      <c r="E307" s="1" t="n">
        <v>46321</v>
      </c>
      <c r="F307" t="inlineStr">
        <is>
          <t>BLEKINGE LÄN</t>
        </is>
      </c>
      <c r="G307" t="inlineStr">
        <is>
          <t>RONNEBY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46321</v>
      </c>
      <c r="F308" t="inlineStr">
        <is>
          <t>BLEKINGE LÄN</t>
        </is>
      </c>
      <c r="G308" t="inlineStr">
        <is>
          <t>RONNEBY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46321</v>
      </c>
      <c r="F309" t="inlineStr">
        <is>
          <t>BLEKINGE LÄN</t>
        </is>
      </c>
      <c r="G309" t="inlineStr">
        <is>
          <t>RONNEBY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46321</v>
      </c>
      <c r="F310" t="inlineStr">
        <is>
          <t>BLEKINGE LÄN</t>
        </is>
      </c>
      <c r="G310" t="inlineStr">
        <is>
          <t>RONNEBY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44817</v>
      </c>
      <c r="E311" s="1" t="n">
        <v>46321</v>
      </c>
      <c r="F311" t="inlineStr">
        <is>
          <t>BLEKINGE LÄN</t>
        </is>
      </c>
      <c r="G311" t="inlineStr">
        <is>
          <t>RONNEBY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46321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46321</v>
      </c>
      <c r="F313" t="inlineStr">
        <is>
          <t>BLEKINGE LÄN</t>
        </is>
      </c>
      <c r="G313" t="inlineStr">
        <is>
          <t>RONNEBY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46321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46321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45597</v>
      </c>
      <c r="E316" s="1" t="n">
        <v>46321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46321</v>
      </c>
      <c r="F317" t="inlineStr">
        <is>
          <t>BLEKINGE LÄN</t>
        </is>
      </c>
      <c r="G317" t="inlineStr">
        <is>
          <t>RONNEBY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46046</v>
      </c>
      <c r="E318" s="1" t="n">
        <v>46321</v>
      </c>
      <c r="F318" t="inlineStr">
        <is>
          <t>BLEKINGE LÄN</t>
        </is>
      </c>
      <c r="G318" t="inlineStr">
        <is>
          <t>RONNEBY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46321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46321</v>
      </c>
      <c r="F320" t="inlineStr">
        <is>
          <t>BLEKINGE LÄN</t>
        </is>
      </c>
      <c r="G320" t="inlineStr">
        <is>
          <t>RONNEBY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46321</v>
      </c>
      <c r="F321" t="inlineStr">
        <is>
          <t>BLEKINGE LÄN</t>
        </is>
      </c>
      <c r="G321" t="inlineStr">
        <is>
          <t>RONNEBY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46321</v>
      </c>
      <c r="F322" t="inlineStr">
        <is>
          <t>BLEKINGE LÄN</t>
        </is>
      </c>
      <c r="G322" t="inlineStr">
        <is>
          <t>RONNEBY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46321</v>
      </c>
      <c r="F323" t="inlineStr">
        <is>
          <t>BLEKINGE LÄN</t>
        </is>
      </c>
      <c r="G323" t="inlineStr">
        <is>
          <t>RONNEBY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46321</v>
      </c>
      <c r="F324" t="inlineStr">
        <is>
          <t>BLEKINGE LÄN</t>
        </is>
      </c>
      <c r="G324" t="inlineStr">
        <is>
          <t>RONNEBY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46321</v>
      </c>
      <c r="F325" t="inlineStr">
        <is>
          <t>BLEKINGE LÄN</t>
        </is>
      </c>
      <c r="G325" t="inlineStr">
        <is>
          <t>RONNEBY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46321</v>
      </c>
      <c r="F326" t="inlineStr">
        <is>
          <t>BLEKINGE LÄN</t>
        </is>
      </c>
      <c r="G326" t="inlineStr">
        <is>
          <t>RONNEBY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46321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46321</v>
      </c>
      <c r="F328" t="inlineStr">
        <is>
          <t>BLEKINGE LÄN</t>
        </is>
      </c>
      <c r="G328" t="inlineStr">
        <is>
          <t>RONNEBY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46321</v>
      </c>
      <c r="F329" t="inlineStr">
        <is>
          <t>BLEKINGE LÄN</t>
        </is>
      </c>
      <c r="G329" t="inlineStr">
        <is>
          <t>RONNEBY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46077</v>
      </c>
      <c r="E330" s="1" t="n">
        <v>46321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46321</v>
      </c>
      <c r="F331" t="inlineStr">
        <is>
          <t>BLEKINGE LÄN</t>
        </is>
      </c>
      <c r="G331" t="inlineStr">
        <is>
          <t>RONNEBY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30197-2024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45490</v>
      </c>
      <c r="E332" s="1" t="n">
        <v>46321</v>
      </c>
      <c r="F332" t="inlineStr">
        <is>
          <t>BLEKINGE LÄN</t>
        </is>
      </c>
      <c r="G332" t="inlineStr">
        <is>
          <t>RONNEBY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46321</v>
      </c>
      <c r="F333" t="inlineStr">
        <is>
          <t>BLEKINGE LÄN</t>
        </is>
      </c>
      <c r="G333" t="inlineStr">
        <is>
          <t>RONNEBY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45785</v>
      </c>
      <c r="E334" s="1" t="n">
        <v>46321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46321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46321</v>
      </c>
      <c r="F336" t="inlineStr">
        <is>
          <t>BLEKINGE LÄN</t>
        </is>
      </c>
      <c r="G336" t="inlineStr">
        <is>
          <t>RONNEBY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46294</v>
      </c>
      <c r="E337" s="1" t="n">
        <v>46321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46321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46321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46321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46321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46321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46292</v>
      </c>
      <c r="E343" s="1" t="n">
        <v>46321</v>
      </c>
      <c r="F343" t="inlineStr">
        <is>
          <t>BLEKINGE LÄN</t>
        </is>
      </c>
      <c r="G343" t="inlineStr">
        <is>
          <t>RONNEBY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46292</v>
      </c>
      <c r="E344" s="1" t="n">
        <v>46321</v>
      </c>
      <c r="F344" t="inlineStr">
        <is>
          <t>BLEKINGE LÄN</t>
        </is>
      </c>
      <c r="G344" t="inlineStr">
        <is>
          <t>RONNEBY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46321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46321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46073</v>
      </c>
      <c r="E347" s="1" t="n">
        <v>46321</v>
      </c>
      <c r="F347" t="inlineStr">
        <is>
          <t>BLEKINGE LÄN</t>
        </is>
      </c>
      <c r="G347" t="inlineStr">
        <is>
          <t>RONNEBY</t>
        </is>
      </c>
      <c r="H347" t="inlineStr">
        <is>
          <t>Kyrkan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45413</v>
      </c>
      <c r="E348" s="1" t="n">
        <v>46321</v>
      </c>
      <c r="F348" t="inlineStr">
        <is>
          <t>BLEKINGE LÄN</t>
        </is>
      </c>
      <c r="G348" t="inlineStr">
        <is>
          <t>RONNEBY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46321</v>
      </c>
      <c r="F349" t="inlineStr">
        <is>
          <t>BLEKINGE LÄN</t>
        </is>
      </c>
      <c r="G349" t="inlineStr">
        <is>
          <t>RONNEBY</t>
        </is>
      </c>
      <c r="H349" t="inlineStr">
        <is>
          <t>Kyrkan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46321</v>
      </c>
      <c r="F350" t="inlineStr">
        <is>
          <t>BLEKINGE LÄN</t>
        </is>
      </c>
      <c r="G350" t="inlineStr">
        <is>
          <t>RONNEBY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46321</v>
      </c>
      <c r="F351" t="inlineStr">
        <is>
          <t>BLEKINGE LÄN</t>
        </is>
      </c>
      <c r="G351" t="inlineStr">
        <is>
          <t>RONNEBY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10804-2026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46321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46321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46321</v>
      </c>
      <c r="F354" t="inlineStr">
        <is>
          <t>BLEKINGE LÄN</t>
        </is>
      </c>
      <c r="G354" t="inlineStr">
        <is>
          <t>RONNEBY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46321</v>
      </c>
      <c r="F355" t="inlineStr">
        <is>
          <t>BLEKINGE LÄN</t>
        </is>
      </c>
      <c r="G355" t="inlineStr">
        <is>
          <t>RONNEBY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46321</v>
      </c>
      <c r="F356" t="inlineStr">
        <is>
          <t>BLEKINGE LÄN</t>
        </is>
      </c>
      <c r="G356" t="inlineStr">
        <is>
          <t>RONNEBY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46321</v>
      </c>
      <c r="F357" t="inlineStr">
        <is>
          <t>BLEKINGE LÄN</t>
        </is>
      </c>
      <c r="G357" t="inlineStr">
        <is>
          <t>RONNEBY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46321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46321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46321</v>
      </c>
      <c r="F360" t="inlineStr">
        <is>
          <t>BLEKINGE LÄN</t>
        </is>
      </c>
      <c r="G360" t="inlineStr">
        <is>
          <t>RONNEBY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46321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46321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44595</v>
      </c>
      <c r="E363" s="1" t="n">
        <v>46321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46321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46321</v>
      </c>
      <c r="F365" t="inlineStr">
        <is>
          <t>BLEKINGE LÄN</t>
        </is>
      </c>
      <c r="G365" t="inlineStr">
        <is>
          <t>RONNEBY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46321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46321</v>
      </c>
      <c r="F367" t="inlineStr">
        <is>
          <t>BLEKINGE LÄN</t>
        </is>
      </c>
      <c r="G367" t="inlineStr">
        <is>
          <t>RONNEBY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46321</v>
      </c>
      <c r="F368" t="inlineStr">
        <is>
          <t>BLEKINGE LÄN</t>
        </is>
      </c>
      <c r="G368" t="inlineStr">
        <is>
          <t>RONNEBY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46321</v>
      </c>
      <c r="F369" t="inlineStr">
        <is>
          <t>BLEKINGE LÄN</t>
        </is>
      </c>
      <c r="G369" t="inlineStr">
        <is>
          <t>RONNEBY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46321</v>
      </c>
      <c r="F370" t="inlineStr">
        <is>
          <t>BLEKINGE LÄN</t>
        </is>
      </c>
      <c r="G370" t="inlineStr">
        <is>
          <t>RONNEBY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46321</v>
      </c>
      <c r="F371" t="inlineStr">
        <is>
          <t>BLEKINGE LÄN</t>
        </is>
      </c>
      <c r="G371" t="inlineStr">
        <is>
          <t>RONNEBY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46321</v>
      </c>
      <c r="F372" t="inlineStr">
        <is>
          <t>BLEKINGE LÄN</t>
        </is>
      </c>
      <c r="G372" t="inlineStr">
        <is>
          <t>RONNEBY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46321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46321</v>
      </c>
      <c r="F374" t="inlineStr">
        <is>
          <t>BLEKINGE LÄN</t>
        </is>
      </c>
      <c r="G374" t="inlineStr">
        <is>
          <t>RONNEBY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46321</v>
      </c>
      <c r="F375" t="inlineStr">
        <is>
          <t>BLEKINGE LÄN</t>
        </is>
      </c>
      <c r="G375" t="inlineStr">
        <is>
          <t>RONNEBY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46298</v>
      </c>
      <c r="E376" s="1" t="n">
        <v>46321</v>
      </c>
      <c r="F376" t="inlineStr">
        <is>
          <t>BLEKINGE LÄN</t>
        </is>
      </c>
      <c r="G376" t="inlineStr">
        <is>
          <t>RONNEBY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46321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46321</v>
      </c>
      <c r="F378" t="inlineStr">
        <is>
          <t>BLEKINGE LÄN</t>
        </is>
      </c>
      <c r="G378" t="inlineStr">
        <is>
          <t>RONNEBY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46321</v>
      </c>
      <c r="F379" t="inlineStr">
        <is>
          <t>BLEKINGE LÄN</t>
        </is>
      </c>
      <c r="G379" t="inlineStr">
        <is>
          <t>RONNEBY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46321</v>
      </c>
      <c r="F380" t="inlineStr">
        <is>
          <t>BLEKINGE LÄN</t>
        </is>
      </c>
      <c r="G380" t="inlineStr">
        <is>
          <t>RONNEBY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46321</v>
      </c>
      <c r="F381" t="inlineStr">
        <is>
          <t>BLEKINGE LÄN</t>
        </is>
      </c>
      <c r="G381" t="inlineStr">
        <is>
          <t>RONNEBY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44980</v>
      </c>
      <c r="E382" s="1" t="n">
        <v>46321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46321</v>
      </c>
      <c r="F383" t="inlineStr">
        <is>
          <t>BLEKINGE LÄN</t>
        </is>
      </c>
      <c r="G383" t="inlineStr">
        <is>
          <t>RONNEBY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46321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46259</v>
      </c>
      <c r="E385" s="1" t="n">
        <v>46321</v>
      </c>
      <c r="F385" t="inlineStr">
        <is>
          <t>BLEKINGE LÄN</t>
        </is>
      </c>
      <c r="G385" t="inlineStr">
        <is>
          <t>RONNEBY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46259</v>
      </c>
      <c r="E386" s="1" t="n">
        <v>46321</v>
      </c>
      <c r="F386" t="inlineStr">
        <is>
          <t>BLEKINGE LÄN</t>
        </is>
      </c>
      <c r="G386" t="inlineStr">
        <is>
          <t>RONNEBY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46321</v>
      </c>
      <c r="F387" t="inlineStr">
        <is>
          <t>BLEKINGE LÄN</t>
        </is>
      </c>
      <c r="G387" t="inlineStr">
        <is>
          <t>RONNEBY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46321</v>
      </c>
      <c r="F388" t="inlineStr">
        <is>
          <t>BLEKINGE LÄN</t>
        </is>
      </c>
      <c r="G388" t="inlineStr">
        <is>
          <t>RONNEBY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46321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46321</v>
      </c>
      <c r="F390" t="inlineStr">
        <is>
          <t>BLEKINGE LÄN</t>
        </is>
      </c>
      <c r="G390" t="inlineStr">
        <is>
          <t>RONNEBY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46321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46321</v>
      </c>
      <c r="F392" t="inlineStr">
        <is>
          <t>BLEKINGE LÄN</t>
        </is>
      </c>
      <c r="G392" t="inlineStr">
        <is>
          <t>RONNEBY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46321</v>
      </c>
      <c r="F393" t="inlineStr">
        <is>
          <t>BLEKINGE LÄN</t>
        </is>
      </c>
      <c r="G393" t="inlineStr">
        <is>
          <t>RONNEBY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46321</v>
      </c>
      <c r="F394" t="inlineStr">
        <is>
          <t>BLEKINGE LÄN</t>
        </is>
      </c>
      <c r="G394" t="inlineStr">
        <is>
          <t>RONNEBY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54943-2024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45619</v>
      </c>
      <c r="E395" s="1" t="n">
        <v>46321</v>
      </c>
      <c r="F395" t="inlineStr">
        <is>
          <t>BLEKINGE LÄN</t>
        </is>
      </c>
      <c r="G395" t="inlineStr">
        <is>
          <t>RONNEBY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46321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46321</v>
      </c>
      <c r="F397" t="inlineStr">
        <is>
          <t>BLEKINGE LÄN</t>
        </is>
      </c>
      <c r="G397" t="inlineStr">
        <is>
          <t>RONNEBY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45303</v>
      </c>
      <c r="E398" s="1" t="n">
        <v>46321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46321</v>
      </c>
      <c r="F399" t="inlineStr">
        <is>
          <t>BLEKINGE LÄN</t>
        </is>
      </c>
      <c r="G399" t="inlineStr">
        <is>
          <t>RONNEBY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46321</v>
      </c>
      <c r="F400" t="inlineStr">
        <is>
          <t>BLEKINGE LÄN</t>
        </is>
      </c>
      <c r="G400" t="inlineStr">
        <is>
          <t>RONNEBY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46265</v>
      </c>
      <c r="E401" s="1" t="n">
        <v>46321</v>
      </c>
      <c r="F401" t="inlineStr">
        <is>
          <t>BLEKINGE LÄN</t>
        </is>
      </c>
      <c r="G401" t="inlineStr">
        <is>
          <t>RONNEBY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46321</v>
      </c>
      <c r="F402" t="inlineStr">
        <is>
          <t>BLEKINGE LÄN</t>
        </is>
      </c>
      <c r="G402" t="inlineStr">
        <is>
          <t>RONNEBY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46321</v>
      </c>
      <c r="F403" t="inlineStr">
        <is>
          <t>BLEKINGE LÄN</t>
        </is>
      </c>
      <c r="G403" t="inlineStr">
        <is>
          <t>RONNEBY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46321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46321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46321</v>
      </c>
      <c r="F406" t="inlineStr">
        <is>
          <t>BLEKINGE LÄN</t>
        </is>
      </c>
      <c r="G406" t="inlineStr">
        <is>
          <t>RONNEBY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45811</v>
      </c>
      <c r="E407" s="1" t="n">
        <v>46321</v>
      </c>
      <c r="F407" t="inlineStr">
        <is>
          <t>BLEKINGE LÄN</t>
        </is>
      </c>
      <c r="G407" t="inlineStr">
        <is>
          <t>RONNEBY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45426</v>
      </c>
      <c r="E408" s="1" t="n">
        <v>46321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64465-2023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45280</v>
      </c>
      <c r="E409" s="1" t="n">
        <v>46321</v>
      </c>
      <c r="F409" t="inlineStr">
        <is>
          <t>BLEKINGE LÄN</t>
        </is>
      </c>
      <c r="G409" t="inlineStr">
        <is>
          <t>RONNEBY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46321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44992</v>
      </c>
      <c r="E411" s="1" t="n">
        <v>46321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54248-2025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45964</v>
      </c>
      <c r="E412" s="1" t="n">
        <v>46321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46321</v>
      </c>
      <c r="F413" t="inlineStr">
        <is>
          <t>BLEKINGE LÄN</t>
        </is>
      </c>
      <c r="G413" t="inlineStr">
        <is>
          <t>RONNEBY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46321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46321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46321</v>
      </c>
      <c r="F416" t="inlineStr">
        <is>
          <t>BLEKINGE LÄN</t>
        </is>
      </c>
      <c r="G416" t="inlineStr">
        <is>
          <t>RONNEBY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46321</v>
      </c>
      <c r="F417" t="inlineStr">
        <is>
          <t>BLEKINGE LÄN</t>
        </is>
      </c>
      <c r="G417" t="inlineStr">
        <is>
          <t>RONNEBY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46321</v>
      </c>
      <c r="F418" t="inlineStr">
        <is>
          <t>BLEKINGE LÄN</t>
        </is>
      </c>
      <c r="G418" t="inlineStr">
        <is>
          <t>RONNEBY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45673</v>
      </c>
      <c r="E419" s="1" t="n">
        <v>46321</v>
      </c>
      <c r="F419" t="inlineStr">
        <is>
          <t>BLEKINGE LÄN</t>
        </is>
      </c>
      <c r="G419" t="inlineStr">
        <is>
          <t>RONNEBY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46321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46321</v>
      </c>
      <c r="F421" t="inlineStr">
        <is>
          <t>BLEKINGE LÄN</t>
        </is>
      </c>
      <c r="G421" t="inlineStr">
        <is>
          <t>RONNEBY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41660-2024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45560</v>
      </c>
      <c r="E422" s="1" t="n">
        <v>46321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46268</v>
      </c>
      <c r="E423" s="1" t="n">
        <v>46321</v>
      </c>
      <c r="F423" t="inlineStr">
        <is>
          <t>BLEKINGE LÄN</t>
        </is>
      </c>
      <c r="G423" t="inlineStr">
        <is>
          <t>RONNEBY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46321</v>
      </c>
      <c r="F424" t="inlineStr">
        <is>
          <t>BLEKINGE LÄN</t>
        </is>
      </c>
      <c r="G424" t="inlineStr">
        <is>
          <t>RONNEBY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46321</v>
      </c>
      <c r="F425" t="inlineStr">
        <is>
          <t>BLEKINGE LÄN</t>
        </is>
      </c>
      <c r="G425" t="inlineStr">
        <is>
          <t>RONNEBY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45625</v>
      </c>
      <c r="E426" s="1" t="n">
        <v>46321</v>
      </c>
      <c r="F426" t="inlineStr">
        <is>
          <t>BLEKINGE LÄN</t>
        </is>
      </c>
      <c r="G426" t="inlineStr">
        <is>
          <t>RONNEBY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44992</v>
      </c>
      <c r="E427" s="1" t="n">
        <v>46321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46321</v>
      </c>
      <c r="F428" t="inlineStr">
        <is>
          <t>BLEKINGE LÄN</t>
        </is>
      </c>
      <c r="G428" t="inlineStr">
        <is>
          <t>RONNEBY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46321</v>
      </c>
      <c r="F429" t="inlineStr">
        <is>
          <t>BLEKINGE LÄN</t>
        </is>
      </c>
      <c r="G429" t="inlineStr">
        <is>
          <t>RONNEBY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46321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45670</v>
      </c>
      <c r="E431" s="1" t="n">
        <v>46321</v>
      </c>
      <c r="F431" t="inlineStr">
        <is>
          <t>BLEKINGE LÄN</t>
        </is>
      </c>
      <c r="G431" t="inlineStr">
        <is>
          <t>RONNEBY</t>
        </is>
      </c>
      <c r="I431" t="n">
        <v>12.6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45889</v>
      </c>
      <c r="E432" s="1" t="n">
        <v>46321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10767-2022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44627</v>
      </c>
      <c r="E433" s="1" t="n">
        <v>46321</v>
      </c>
      <c r="F433" t="inlineStr">
        <is>
          <t>BLEKINGE LÄN</t>
        </is>
      </c>
      <c r="G433" t="inlineStr">
        <is>
          <t>RONNEBY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46321</v>
      </c>
      <c r="F434" t="inlineStr">
        <is>
          <t>BLEKINGE LÄN</t>
        </is>
      </c>
      <c r="G434" t="inlineStr">
        <is>
          <t>RONNEBY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46321</v>
      </c>
      <c r="F435" t="inlineStr">
        <is>
          <t>BLEKINGE LÄN</t>
        </is>
      </c>
      <c r="G435" t="inlineStr">
        <is>
          <t>RONNEBY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54065-2024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45616</v>
      </c>
      <c r="E436" s="1" t="n">
        <v>46321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45178</v>
      </c>
      <c r="E437" s="1" t="n">
        <v>46321</v>
      </c>
      <c r="F437" t="inlineStr">
        <is>
          <t>BLEKINGE LÄN</t>
        </is>
      </c>
      <c r="G437" t="inlineStr">
        <is>
          <t>RONNEBY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46321</v>
      </c>
      <c r="F438" t="inlineStr">
        <is>
          <t>BLEKINGE LÄN</t>
        </is>
      </c>
      <c r="G438" t="inlineStr">
        <is>
          <t>RONNEBY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46321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46321</v>
      </c>
      <c r="F440" t="inlineStr">
        <is>
          <t>BLEKINGE LÄN</t>
        </is>
      </c>
      <c r="G440" t="inlineStr">
        <is>
          <t>RONNEBY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46321</v>
      </c>
      <c r="F441" t="inlineStr">
        <is>
          <t>BLEKINGE LÄN</t>
        </is>
      </c>
      <c r="G441" t="inlineStr">
        <is>
          <t>RONNEBY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46311</v>
      </c>
      <c r="E442" s="1" t="n">
        <v>46321</v>
      </c>
      <c r="F442" t="inlineStr">
        <is>
          <t>BLEKINGE LÄN</t>
        </is>
      </c>
      <c r="G442" t="inlineStr">
        <is>
          <t>RONNEBY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46321</v>
      </c>
      <c r="F443" t="inlineStr">
        <is>
          <t>BLEKINGE LÄN</t>
        </is>
      </c>
      <c r="G443" t="inlineStr">
        <is>
          <t>RONNEBY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20546-2026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46321</v>
      </c>
      <c r="F444" t="inlineStr">
        <is>
          <t>BLEKINGE LÄN</t>
        </is>
      </c>
      <c r="G444" t="inlineStr">
        <is>
          <t>RONNEBY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46311</v>
      </c>
      <c r="E445" s="1" t="n">
        <v>46321</v>
      </c>
      <c r="F445" t="inlineStr">
        <is>
          <t>BLEKINGE LÄN</t>
        </is>
      </c>
      <c r="G445" t="inlineStr">
        <is>
          <t>RONNEBY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46311</v>
      </c>
      <c r="E446" s="1" t="n">
        <v>46321</v>
      </c>
      <c r="F446" t="inlineStr">
        <is>
          <t>BLEKINGE LÄN</t>
        </is>
      </c>
      <c r="G446" t="inlineStr">
        <is>
          <t>RONNEBY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46321</v>
      </c>
      <c r="F447" t="inlineStr">
        <is>
          <t>BLEKINGE LÄN</t>
        </is>
      </c>
      <c r="G447" t="inlineStr">
        <is>
          <t>RONNEBY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46311</v>
      </c>
      <c r="E448" s="1" t="n">
        <v>46321</v>
      </c>
      <c r="F448" t="inlineStr">
        <is>
          <t>BLEKINGE LÄN</t>
        </is>
      </c>
      <c r="G448" t="inlineStr">
        <is>
          <t>RONNEBY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45891</v>
      </c>
      <c r="E449" s="1" t="n">
        <v>46321</v>
      </c>
      <c r="F449" t="inlineStr">
        <is>
          <t>BLEKINGE LÄN</t>
        </is>
      </c>
      <c r="G449" t="inlineStr">
        <is>
          <t>RONNEBY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45891</v>
      </c>
      <c r="E450" s="1" t="n">
        <v>46321</v>
      </c>
      <c r="F450" t="inlineStr">
        <is>
          <t>BLEKINGE LÄN</t>
        </is>
      </c>
      <c r="G450" t="inlineStr">
        <is>
          <t>RONNEBY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44565</v>
      </c>
      <c r="E451" s="1" t="n">
        <v>46321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46321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45104</v>
      </c>
      <c r="E453" s="1" t="n">
        <v>46321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46321</v>
      </c>
      <c r="F454" t="inlineStr">
        <is>
          <t>BLEKINGE LÄN</t>
        </is>
      </c>
      <c r="G454" t="inlineStr">
        <is>
          <t>RONNEBY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45505</v>
      </c>
      <c r="E455" s="1" t="n">
        <v>46321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46321</v>
      </c>
      <c r="F456" t="inlineStr">
        <is>
          <t>BLEKINGE LÄN</t>
        </is>
      </c>
      <c r="G456" t="inlineStr">
        <is>
          <t>RONNEBY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46321</v>
      </c>
      <c r="F457" t="inlineStr">
        <is>
          <t>BLEKINGE LÄN</t>
        </is>
      </c>
      <c r="G457" t="inlineStr">
        <is>
          <t>RONNEBY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46316</v>
      </c>
      <c r="E458" s="1" t="n">
        <v>46321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45192</v>
      </c>
      <c r="E459" s="1" t="n">
        <v>46321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46321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46321</v>
      </c>
      <c r="F461" t="inlineStr">
        <is>
          <t>BLEKINGE LÄN</t>
        </is>
      </c>
      <c r="G461" t="inlineStr">
        <is>
          <t>RONNEBY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46316</v>
      </c>
      <c r="E462" s="1" t="n">
        <v>46321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46316</v>
      </c>
      <c r="E463" s="1" t="n">
        <v>46321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46321</v>
      </c>
      <c r="F464" t="inlineStr">
        <is>
          <t>BLEKINGE LÄN</t>
        </is>
      </c>
      <c r="G464" t="inlineStr">
        <is>
          <t>RONNEBY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46272</v>
      </c>
      <c r="E465" s="1" t="n">
        <v>46321</v>
      </c>
      <c r="F465" t="inlineStr">
        <is>
          <t>BLEKINGE LÄN</t>
        </is>
      </c>
      <c r="G465" t="inlineStr">
        <is>
          <t>RONNEBY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46321</v>
      </c>
      <c r="F466" t="inlineStr">
        <is>
          <t>BLEKINGE LÄN</t>
        </is>
      </c>
      <c r="G466" t="inlineStr">
        <is>
          <t>RONNEBY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46316</v>
      </c>
      <c r="E467" s="1" t="n">
        <v>46321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46321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46321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46316</v>
      </c>
      <c r="E470" s="1" t="n">
        <v>46321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46321</v>
      </c>
      <c r="F471" t="inlineStr">
        <is>
          <t>BLEKINGE LÄN</t>
        </is>
      </c>
      <c r="G471" t="inlineStr">
        <is>
          <t>RONNEBY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46317</v>
      </c>
      <c r="E472" s="1" t="n">
        <v>46321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46321</v>
      </c>
      <c r="F473" t="inlineStr">
        <is>
          <t>BLEKINGE LÄN</t>
        </is>
      </c>
      <c r="G473" t="inlineStr">
        <is>
          <t>RONNEBY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46276</v>
      </c>
      <c r="E474" s="1" t="n">
        <v>46321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37861-2026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46321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46317</v>
      </c>
      <c r="E476" s="1" t="n">
        <v>46321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46317</v>
      </c>
      <c r="E477" s="1" t="n">
        <v>46321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46317</v>
      </c>
      <c r="E478" s="1" t="n">
        <v>46321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46317</v>
      </c>
      <c r="E479" s="1" t="n">
        <v>46321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46317</v>
      </c>
      <c r="E480" s="1" t="n">
        <v>46321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46321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46317</v>
      </c>
      <c r="E482" s="1" t="n">
        <v>46321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44944</v>
      </c>
      <c r="E483" s="1" t="n">
        <v>46321</v>
      </c>
      <c r="F483" t="inlineStr">
        <is>
          <t>BLEKINGE LÄN</t>
        </is>
      </c>
      <c r="G483" t="inlineStr">
        <is>
          <t>RONNEBY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46317</v>
      </c>
      <c r="E484" s="1" t="n">
        <v>46321</v>
      </c>
      <c r="F484" t="inlineStr">
        <is>
          <t>BLEKINGE LÄN</t>
        </is>
      </c>
      <c r="G484" t="inlineStr">
        <is>
          <t>RONNEBY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45071</v>
      </c>
      <c r="E485" s="1" t="n">
        <v>46321</v>
      </c>
      <c r="F485" t="inlineStr">
        <is>
          <t>BLEKINGE LÄN</t>
        </is>
      </c>
      <c r="G485" t="inlineStr">
        <is>
          <t>RONNEBY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46321</v>
      </c>
      <c r="F486" t="inlineStr">
        <is>
          <t>BLEKINGE LÄN</t>
        </is>
      </c>
      <c r="G486" t="inlineStr">
        <is>
          <t>RONNEBY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46321</v>
      </c>
      <c r="F487" t="inlineStr">
        <is>
          <t>BLEKINGE LÄN</t>
        </is>
      </c>
      <c r="G487" t="inlineStr">
        <is>
          <t>RONNEBY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45238</v>
      </c>
      <c r="E488" s="1" t="n">
        <v>46321</v>
      </c>
      <c r="F488" t="inlineStr">
        <is>
          <t>BLEKINGE LÄN</t>
        </is>
      </c>
      <c r="G488" t="inlineStr">
        <is>
          <t>RONNEBY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46149</v>
      </c>
      <c r="E489" s="1" t="n">
        <v>46321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46321</v>
      </c>
      <c r="F490" t="inlineStr">
        <is>
          <t>BLEKINGE LÄN</t>
        </is>
      </c>
      <c r="G490" t="inlineStr">
        <is>
          <t>RONNEBY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46321</v>
      </c>
      <c r="F491" t="inlineStr">
        <is>
          <t>BLEKINGE LÄN</t>
        </is>
      </c>
      <c r="G491" t="inlineStr">
        <is>
          <t>RONNEBY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44754</v>
      </c>
      <c r="E492" s="1" t="n">
        <v>46321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45739</v>
      </c>
      <c r="E493" s="1" t="n">
        <v>46321</v>
      </c>
      <c r="F493" t="inlineStr">
        <is>
          <t>BLEKINGE LÄN</t>
        </is>
      </c>
      <c r="G493" t="inlineStr">
        <is>
          <t>RONNEBY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46321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46321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46321</v>
      </c>
      <c r="F496" t="inlineStr">
        <is>
          <t>BLEKINGE LÄN</t>
        </is>
      </c>
      <c r="G496" t="inlineStr">
        <is>
          <t>RONNEBY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46321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46321</v>
      </c>
      <c r="F498" t="inlineStr">
        <is>
          <t>BLEKINGE LÄN</t>
        </is>
      </c>
      <c r="G498" t="inlineStr">
        <is>
          <t>RONNEBY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46321</v>
      </c>
      <c r="F499" t="inlineStr">
        <is>
          <t>BLEKINGE LÄN</t>
        </is>
      </c>
      <c r="G499" t="inlineStr">
        <is>
          <t>RONNEBY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46321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statliga verk och myndigheter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44966</v>
      </c>
      <c r="E501" s="1" t="n">
        <v>46321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46321</v>
      </c>
      <c r="F502" t="inlineStr">
        <is>
          <t>BLEKINGE LÄN</t>
        </is>
      </c>
      <c r="G502" t="inlineStr">
        <is>
          <t>RONNEBY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46321</v>
      </c>
      <c r="F503" t="inlineStr">
        <is>
          <t>BLEKINGE LÄN</t>
        </is>
      </c>
      <c r="G503" t="inlineStr">
        <is>
          <t>RONNEBY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46321</v>
      </c>
      <c r="F504" t="inlineStr">
        <is>
          <t>BLEKINGE LÄN</t>
        </is>
      </c>
      <c r="G504" t="inlineStr">
        <is>
          <t>RONNEBY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46321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28896-2024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45480</v>
      </c>
      <c r="E506" s="1" t="n">
        <v>46321</v>
      </c>
      <c r="F506" t="inlineStr">
        <is>
          <t>BLEKINGE LÄN</t>
        </is>
      </c>
      <c r="G506" t="inlineStr">
        <is>
          <t>RONNEBY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46321</v>
      </c>
      <c r="F507" t="inlineStr">
        <is>
          <t>BLEKINGE LÄN</t>
        </is>
      </c>
      <c r="G507" t="inlineStr">
        <is>
          <t>RONNEBY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45061</v>
      </c>
      <c r="E508" s="1" t="n">
        <v>46321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44713</v>
      </c>
      <c r="E509" s="1" t="n">
        <v>46321</v>
      </c>
      <c r="F509" t="inlineStr">
        <is>
          <t>BLEKINGE LÄN</t>
        </is>
      </c>
      <c r="G509" t="inlineStr">
        <is>
          <t>RONNEBY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46321</v>
      </c>
      <c r="F510" t="inlineStr">
        <is>
          <t>BLEKINGE LÄN</t>
        </is>
      </c>
      <c r="G510" t="inlineStr">
        <is>
          <t>RONNEBY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45001</v>
      </c>
      <c r="E511" s="1" t="n">
        <v>46321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46321</v>
      </c>
      <c r="F512" t="inlineStr">
        <is>
          <t>BLEKINGE LÄN</t>
        </is>
      </c>
      <c r="G512" t="inlineStr">
        <is>
          <t>RONNEBY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45178</v>
      </c>
      <c r="E513" s="1" t="n">
        <v>46321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46321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46321</v>
      </c>
      <c r="F515" t="inlineStr">
        <is>
          <t>BLEKINGE LÄN</t>
        </is>
      </c>
      <c r="G515" t="inlineStr">
        <is>
          <t>RONNEBY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40300-2022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44822</v>
      </c>
      <c r="E516" s="1" t="n">
        <v>46321</v>
      </c>
      <c r="F516" t="inlineStr">
        <is>
          <t>BLEKINGE LÄN</t>
        </is>
      </c>
      <c r="G516" t="inlineStr">
        <is>
          <t>RONNEBY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46321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44739</v>
      </c>
      <c r="E518" s="1" t="n">
        <v>46321</v>
      </c>
      <c r="F518" t="inlineStr">
        <is>
          <t>BLEKINGE LÄN</t>
        </is>
      </c>
      <c r="G518" t="inlineStr">
        <is>
          <t>RONNEBY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46321</v>
      </c>
      <c r="F519" t="inlineStr">
        <is>
          <t>BLEKINGE LÄN</t>
        </is>
      </c>
      <c r="G519" t="inlineStr">
        <is>
          <t>RONNEBY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46321</v>
      </c>
      <c r="F520" t="inlineStr">
        <is>
          <t>BLEKINGE LÄN</t>
        </is>
      </c>
      <c r="G520" t="inlineStr">
        <is>
          <t>RONNEBY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45193</v>
      </c>
      <c r="E521" s="1" t="n">
        <v>46321</v>
      </c>
      <c r="F521" t="inlineStr">
        <is>
          <t>BLEKINGE LÄN</t>
        </is>
      </c>
      <c r="G521" t="inlineStr">
        <is>
          <t>RONNEBY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45194</v>
      </c>
      <c r="E522" s="1" t="n">
        <v>46321</v>
      </c>
      <c r="F522" t="inlineStr">
        <is>
          <t>BLEKINGE LÄN</t>
        </is>
      </c>
      <c r="G522" t="inlineStr">
        <is>
          <t>RONNEBY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46321</v>
      </c>
      <c r="F523" t="inlineStr">
        <is>
          <t>BLEKINGE LÄN</t>
        </is>
      </c>
      <c r="G523" t="inlineStr">
        <is>
          <t>RONNEBY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46321</v>
      </c>
      <c r="F524" t="inlineStr">
        <is>
          <t>BLEKINGE LÄN</t>
        </is>
      </c>
      <c r="G524" t="inlineStr">
        <is>
          <t>RONNEBY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46321</v>
      </c>
      <c r="F525" t="inlineStr">
        <is>
          <t>BLEKINGE LÄN</t>
        </is>
      </c>
      <c r="G525" t="inlineStr">
        <is>
          <t>RONNEBY</t>
        </is>
      </c>
      <c r="H525" t="inlineStr">
        <is>
          <t>Kommuner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46321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44916</v>
      </c>
      <c r="E527" s="1" t="n">
        <v>46321</v>
      </c>
      <c r="F527" t="inlineStr">
        <is>
          <t>BLEKINGE LÄN</t>
        </is>
      </c>
      <c r="G527" t="inlineStr">
        <is>
          <t>RONNEBY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44862</v>
      </c>
      <c r="E528" s="1" t="n">
        <v>46321</v>
      </c>
      <c r="F528" t="inlineStr">
        <is>
          <t>BLEKINGE LÄN</t>
        </is>
      </c>
      <c r="G528" t="inlineStr">
        <is>
          <t>RONNEBY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46321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46321</v>
      </c>
      <c r="F530" t="inlineStr">
        <is>
          <t>BLEKINGE LÄN</t>
        </is>
      </c>
      <c r="G530" t="inlineStr">
        <is>
          <t>RONNEBY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46321</v>
      </c>
      <c r="F531" t="inlineStr">
        <is>
          <t>BLEKINGE LÄN</t>
        </is>
      </c>
      <c r="G531" t="inlineStr">
        <is>
          <t>RONNEBY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44882</v>
      </c>
      <c r="E532" s="1" t="n">
        <v>46321</v>
      </c>
      <c r="F532" t="inlineStr">
        <is>
          <t>BLEKINGE LÄN</t>
        </is>
      </c>
      <c r="G532" t="inlineStr">
        <is>
          <t>RONNEBY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45266</v>
      </c>
      <c r="E533" s="1" t="n">
        <v>46321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53817-2022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44880</v>
      </c>
      <c r="E534" s="1" t="n">
        <v>46321</v>
      </c>
      <c r="F534" t="inlineStr">
        <is>
          <t>BLEKINGE LÄN</t>
        </is>
      </c>
      <c r="G534" t="inlineStr">
        <is>
          <t>RONNEBY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45196</v>
      </c>
      <c r="E535" s="1" t="n">
        <v>46321</v>
      </c>
      <c r="F535" t="inlineStr">
        <is>
          <t>BLEKINGE LÄN</t>
        </is>
      </c>
      <c r="G535" t="inlineStr">
        <is>
          <t>RONNEBY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46321</v>
      </c>
      <c r="F536" t="inlineStr">
        <is>
          <t>BLEKINGE LÄN</t>
        </is>
      </c>
      <c r="G536" t="inlineStr">
        <is>
          <t>RONNEBY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46321</v>
      </c>
      <c r="F537" t="inlineStr">
        <is>
          <t>BLEKINGE LÄN</t>
        </is>
      </c>
      <c r="G537" t="inlineStr">
        <is>
          <t>RONNEBY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44966</v>
      </c>
      <c r="E538" s="1" t="n">
        <v>46321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46321</v>
      </c>
      <c r="F539" t="inlineStr">
        <is>
          <t>BLEKINGE LÄN</t>
        </is>
      </c>
      <c r="G539" t="inlineStr">
        <is>
          <t>RONNEBY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46321</v>
      </c>
      <c r="F540" t="inlineStr">
        <is>
          <t>BLEKINGE LÄN</t>
        </is>
      </c>
      <c r="G540" t="inlineStr">
        <is>
          <t>RONNEBY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45194</v>
      </c>
      <c r="E541" s="1" t="n">
        <v>46321</v>
      </c>
      <c r="F541" t="inlineStr">
        <is>
          <t>BLEKINGE LÄN</t>
        </is>
      </c>
      <c r="G541" t="inlineStr">
        <is>
          <t>RONNEBY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45341</v>
      </c>
      <c r="E542" s="1" t="n">
        <v>46321</v>
      </c>
      <c r="F542" t="inlineStr">
        <is>
          <t>BLEKINGE LÄN</t>
        </is>
      </c>
      <c r="G542" t="inlineStr">
        <is>
          <t>RONNEBY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46321</v>
      </c>
      <c r="F543" t="inlineStr">
        <is>
          <t>BLEKINGE LÄN</t>
        </is>
      </c>
      <c r="G543" t="inlineStr">
        <is>
          <t>RONNEBY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46321</v>
      </c>
      <c r="F544" t="inlineStr">
        <is>
          <t>BLEKINGE LÄN</t>
        </is>
      </c>
      <c r="G544" t="inlineStr">
        <is>
          <t>RONNEBY</t>
        </is>
      </c>
      <c r="I544" t="n">
        <v>15.2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45139</v>
      </c>
      <c r="E545" s="1" t="n">
        <v>46321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31589-2023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46321</v>
      </c>
      <c r="F546" t="inlineStr">
        <is>
          <t>BLEKINGE LÄN</t>
        </is>
      </c>
      <c r="G546" t="inlineStr">
        <is>
          <t>RONNEBY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46321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35589-2023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46321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45602</v>
      </c>
      <c r="E549" s="1" t="n">
        <v>46321</v>
      </c>
      <c r="F549" t="inlineStr">
        <is>
          <t>BLEKINGE LÄN</t>
        </is>
      </c>
      <c r="G549" t="inlineStr">
        <is>
          <t>RONNEBY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46321</v>
      </c>
      <c r="F550" t="inlineStr">
        <is>
          <t>BLEKINGE LÄN</t>
        </is>
      </c>
      <c r="G550" t="inlineStr">
        <is>
          <t>RONNEBY</t>
        </is>
      </c>
      <c r="H550" t="inlineStr">
        <is>
          <t>Kommuner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44753</v>
      </c>
      <c r="E551" s="1" t="n">
        <v>46321</v>
      </c>
      <c r="F551" t="inlineStr">
        <is>
          <t>BLEKINGE LÄN</t>
        </is>
      </c>
      <c r="G551" t="inlineStr">
        <is>
          <t>RONNEBY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46321</v>
      </c>
      <c r="F552" t="inlineStr">
        <is>
          <t>BLEKINGE LÄN</t>
        </is>
      </c>
      <c r="G552" t="inlineStr">
        <is>
          <t>RONNEBY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46321</v>
      </c>
      <c r="F553" t="inlineStr">
        <is>
          <t>BLEKINGE LÄN</t>
        </is>
      </c>
      <c r="G553" t="inlineStr">
        <is>
          <t>RONNEBY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45429</v>
      </c>
      <c r="E554" s="1" t="n">
        <v>46321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45152</v>
      </c>
      <c r="E555" s="1" t="n">
        <v>46321</v>
      </c>
      <c r="F555" t="inlineStr">
        <is>
          <t>BLEKINGE LÄN</t>
        </is>
      </c>
      <c r="G555" t="inlineStr">
        <is>
          <t>RONNEBY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45581</v>
      </c>
      <c r="E556" s="1" t="n">
        <v>46321</v>
      </c>
      <c r="F556" t="inlineStr">
        <is>
          <t>BLEKINGE LÄN</t>
        </is>
      </c>
      <c r="G556" t="inlineStr">
        <is>
          <t>RONNEBY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59840-2021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44494</v>
      </c>
      <c r="E557" s="1" t="n">
        <v>46321</v>
      </c>
      <c r="F557" t="inlineStr">
        <is>
          <t>BLEKINGE LÄN</t>
        </is>
      </c>
      <c r="G557" t="inlineStr">
        <is>
          <t>RONNEBY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46321</v>
      </c>
      <c r="F558" t="inlineStr">
        <is>
          <t>BLEKINGE LÄN</t>
        </is>
      </c>
      <c r="G558" t="inlineStr">
        <is>
          <t>RONNEBY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46321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45460</v>
      </c>
      <c r="E560" s="1" t="n">
        <v>46321</v>
      </c>
      <c r="F560" t="inlineStr">
        <is>
          <t>BLEKINGE LÄN</t>
        </is>
      </c>
      <c r="G560" t="inlineStr">
        <is>
          <t>RONNEBY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45719</v>
      </c>
      <c r="E561" s="1" t="n">
        <v>46321</v>
      </c>
      <c r="F561" t="inlineStr">
        <is>
          <t>BLEKINGE LÄN</t>
        </is>
      </c>
      <c r="G561" t="inlineStr">
        <is>
          <t>RONNEBY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45115</v>
      </c>
      <c r="E562" s="1" t="n">
        <v>46321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46321</v>
      </c>
      <c r="F563" t="inlineStr">
        <is>
          <t>BLEKINGE LÄN</t>
        </is>
      </c>
      <c r="G563" t="inlineStr">
        <is>
          <t>RONNEBY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45545</v>
      </c>
      <c r="E564" s="1" t="n">
        <v>46321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45670</v>
      </c>
      <c r="E565" s="1" t="n">
        <v>46321</v>
      </c>
      <c r="F565" t="inlineStr">
        <is>
          <t>BLEKINGE LÄN</t>
        </is>
      </c>
      <c r="G565" t="inlineStr">
        <is>
          <t>RONNEBY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47775-2024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46321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46321</v>
      </c>
      <c r="F567" t="inlineStr">
        <is>
          <t>BLEKINGE LÄN</t>
        </is>
      </c>
      <c r="G567" t="inlineStr">
        <is>
          <t>RONNEBY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45118</v>
      </c>
      <c r="E568" s="1" t="n">
        <v>46321</v>
      </c>
      <c r="F568" t="inlineStr">
        <is>
          <t>BLEKINGE LÄN</t>
        </is>
      </c>
      <c r="G568" t="inlineStr">
        <is>
          <t>RONNEBY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45600</v>
      </c>
      <c r="E569" s="1" t="n">
        <v>46321</v>
      </c>
      <c r="F569" t="inlineStr">
        <is>
          <t>BLEKINGE LÄN</t>
        </is>
      </c>
      <c r="G569" t="inlineStr">
        <is>
          <t>RONNEBY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46321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45169</v>
      </c>
      <c r="E571" s="1" t="n">
        <v>46321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46321</v>
      </c>
      <c r="F572" t="inlineStr">
        <is>
          <t>BLEKINGE LÄN</t>
        </is>
      </c>
      <c r="G572" t="inlineStr">
        <is>
          <t>RONNEBY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46321</v>
      </c>
      <c r="F573" t="inlineStr">
        <is>
          <t>BLEKINGE LÄN</t>
        </is>
      </c>
      <c r="G573" t="inlineStr">
        <is>
          <t>RONNEBY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45076</v>
      </c>
      <c r="E574" s="1" t="n">
        <v>46321</v>
      </c>
      <c r="F574" t="inlineStr">
        <is>
          <t>BLEKINGE LÄN</t>
        </is>
      </c>
      <c r="G574" t="inlineStr">
        <is>
          <t>RONNEBY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44606</v>
      </c>
      <c r="E575" s="1" t="n">
        <v>46321</v>
      </c>
      <c r="F575" t="inlineStr">
        <is>
          <t>BLEKINGE LÄN</t>
        </is>
      </c>
      <c r="G575" t="inlineStr">
        <is>
          <t>RONNEBY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41875-2022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44829</v>
      </c>
      <c r="E576" s="1" t="n">
        <v>46321</v>
      </c>
      <c r="F576" t="inlineStr">
        <is>
          <t>BLEKINGE LÄN</t>
        </is>
      </c>
      <c r="G576" t="inlineStr">
        <is>
          <t>RONNEBY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30507-2022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44762</v>
      </c>
      <c r="E577" s="1" t="n">
        <v>46321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46321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46321</v>
      </c>
      <c r="F579" t="inlineStr">
        <is>
          <t>BLEKINGE LÄN</t>
        </is>
      </c>
      <c r="G579" t="inlineStr">
        <is>
          <t>RONNEBY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44565</v>
      </c>
      <c r="E580" s="1" t="n">
        <v>46321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46321</v>
      </c>
      <c r="F581" t="inlineStr">
        <is>
          <t>BLEKINGE LÄN</t>
        </is>
      </c>
      <c r="G581" t="inlineStr">
        <is>
          <t>RONNEBY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46321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44600</v>
      </c>
      <c r="E583" s="1" t="n">
        <v>46321</v>
      </c>
      <c r="F583" t="inlineStr">
        <is>
          <t>BLEKINGE LÄN</t>
        </is>
      </c>
      <c r="G583" t="inlineStr">
        <is>
          <t>RONNEBY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21111-2024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46321</v>
      </c>
      <c r="F584" t="inlineStr">
        <is>
          <t>BLEKINGE LÄN</t>
        </is>
      </c>
      <c r="G584" t="inlineStr">
        <is>
          <t>RONNEBY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46321</v>
      </c>
      <c r="F585" t="inlineStr">
        <is>
          <t>BLEKINGE LÄN</t>
        </is>
      </c>
      <c r="G585" t="inlineStr">
        <is>
          <t>RONNEBY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46321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46321</v>
      </c>
      <c r="F587" t="inlineStr">
        <is>
          <t>BLEKINGE LÄN</t>
        </is>
      </c>
      <c r="G587" t="inlineStr">
        <is>
          <t>RONNEBY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44586</v>
      </c>
      <c r="E588" s="1" t="n">
        <v>46321</v>
      </c>
      <c r="F588" t="inlineStr">
        <is>
          <t>BLEKINGE LÄN</t>
        </is>
      </c>
      <c r="G588" t="inlineStr">
        <is>
          <t>RONNEBY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44753</v>
      </c>
      <c r="E589" s="1" t="n">
        <v>46321</v>
      </c>
      <c r="F589" t="inlineStr">
        <is>
          <t>BLEKINGE LÄN</t>
        </is>
      </c>
      <c r="G589" t="inlineStr">
        <is>
          <t>RONNEBY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55079-2023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45237</v>
      </c>
      <c r="E590" s="1" t="n">
        <v>46321</v>
      </c>
      <c r="F590" t="inlineStr">
        <is>
          <t>BLEKINGE LÄN</t>
        </is>
      </c>
      <c r="G590" t="inlineStr">
        <is>
          <t>RONNEBY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25077-2022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44729</v>
      </c>
      <c r="E591" s="1" t="n">
        <v>46321</v>
      </c>
      <c r="F591" t="inlineStr">
        <is>
          <t>BLEKINGE LÄN</t>
        </is>
      </c>
      <c r="G591" t="inlineStr">
        <is>
          <t>RONNEBY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46321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45702</v>
      </c>
      <c r="E593" s="1" t="n">
        <v>46321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46914-2023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45201</v>
      </c>
      <c r="E594" s="1" t="n">
        <v>46321</v>
      </c>
      <c r="F594" t="inlineStr">
        <is>
          <t>BLEKINGE LÄN</t>
        </is>
      </c>
      <c r="G594" t="inlineStr">
        <is>
          <t>RONNEBY</t>
        </is>
      </c>
      <c r="I594" t="n">
        <v>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46321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58722-2023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45251</v>
      </c>
      <c r="E596" s="1" t="n">
        <v>46321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44819</v>
      </c>
      <c r="E597" s="1" t="n">
        <v>46321</v>
      </c>
      <c r="F597" t="inlineStr">
        <is>
          <t>BLEKINGE LÄN</t>
        </is>
      </c>
      <c r="G597" t="inlineStr">
        <is>
          <t>RONNEBY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45195</v>
      </c>
      <c r="E598" s="1" t="n">
        <v>46321</v>
      </c>
      <c r="F598" t="inlineStr">
        <is>
          <t>BLEKINGE LÄN</t>
        </is>
      </c>
      <c r="G598" t="inlineStr">
        <is>
          <t>RONNEBY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54536-2022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44882</v>
      </c>
      <c r="E599" s="1" t="n">
        <v>46321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46321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46321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45189</v>
      </c>
      <c r="E602" s="1" t="n">
        <v>46321</v>
      </c>
      <c r="F602" t="inlineStr">
        <is>
          <t>BLEKINGE LÄN</t>
        </is>
      </c>
      <c r="G602" t="inlineStr">
        <is>
          <t>RONNEBY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45460</v>
      </c>
      <c r="E603" s="1" t="n">
        <v>46321</v>
      </c>
      <c r="F603" t="inlineStr">
        <is>
          <t>BLEKINGE LÄN</t>
        </is>
      </c>
      <c r="G603" t="inlineStr">
        <is>
          <t>RONNEBY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45299</v>
      </c>
      <c r="E604" s="1" t="n">
        <v>46321</v>
      </c>
      <c r="F604" t="inlineStr">
        <is>
          <t>BLEKINGE LÄN</t>
        </is>
      </c>
      <c r="G604" t="inlineStr">
        <is>
          <t>RONNEBY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45302</v>
      </c>
      <c r="E605" s="1" t="n">
        <v>46321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45099</v>
      </c>
      <c r="E606" s="1" t="n">
        <v>46321</v>
      </c>
      <c r="F606" t="inlineStr">
        <is>
          <t>BLEKINGE LÄN</t>
        </is>
      </c>
      <c r="G606" t="inlineStr">
        <is>
          <t>RONNEBY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46321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44987</v>
      </c>
      <c r="E608" s="1" t="n">
        <v>46321</v>
      </c>
      <c r="F608" t="inlineStr">
        <is>
          <t>BLEKINGE LÄN</t>
        </is>
      </c>
      <c r="G608" t="inlineStr">
        <is>
          <t>RONNEBY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46321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46321</v>
      </c>
      <c r="F610" t="inlineStr">
        <is>
          <t>BLEKINGE LÄN</t>
        </is>
      </c>
      <c r="G610" t="inlineStr">
        <is>
          <t>RONNEBY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49832-2024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45597</v>
      </c>
      <c r="E611" s="1" t="n">
        <v>46321</v>
      </c>
      <c r="F611" t="inlineStr">
        <is>
          <t>BLEKINGE LÄN</t>
        </is>
      </c>
      <c r="G611" t="inlineStr">
        <is>
          <t>RONNEBY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45128</v>
      </c>
      <c r="E612" s="1" t="n">
        <v>46321</v>
      </c>
      <c r="F612" t="inlineStr">
        <is>
          <t>BLEKINGE LÄN</t>
        </is>
      </c>
      <c r="G612" t="inlineStr">
        <is>
          <t>RONNEBY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45560</v>
      </c>
      <c r="E613" s="1" t="n">
        <v>46321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46542-2022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44848</v>
      </c>
      <c r="E614" s="1" t="n">
        <v>46321</v>
      </c>
      <c r="F614" t="inlineStr">
        <is>
          <t>BLEKINGE LÄN</t>
        </is>
      </c>
      <c r="G614" t="inlineStr">
        <is>
          <t>RONNEBY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45432</v>
      </c>
      <c r="E615" s="1" t="n">
        <v>46321</v>
      </c>
      <c r="F615" t="inlineStr">
        <is>
          <t>BLEKINGE LÄN</t>
        </is>
      </c>
      <c r="G615" t="inlineStr">
        <is>
          <t>RONNEBY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44956</v>
      </c>
      <c r="E616" s="1" t="n">
        <v>46321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44987</v>
      </c>
      <c r="E617" s="1" t="n">
        <v>46321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44987</v>
      </c>
      <c r="E618" s="1" t="n">
        <v>46321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45470</v>
      </c>
      <c r="E619" s="1" t="n">
        <v>46321</v>
      </c>
      <c r="F619" t="inlineStr">
        <is>
          <t>BLEKINGE LÄN</t>
        </is>
      </c>
      <c r="G619" t="inlineStr">
        <is>
          <t>RONNEBY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45360</v>
      </c>
      <c r="E620" s="1" t="n">
        <v>46321</v>
      </c>
      <c r="F620" t="inlineStr">
        <is>
          <t>BLEKINGE LÄN</t>
        </is>
      </c>
      <c r="G620" t="inlineStr">
        <is>
          <t>RONNEBY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45225</v>
      </c>
      <c r="E621" s="1" t="n">
        <v>46321</v>
      </c>
      <c r="F621" t="inlineStr">
        <is>
          <t>BLEKINGE LÄN</t>
        </is>
      </c>
      <c r="G621" t="inlineStr">
        <is>
          <t>RONNEBY</t>
        </is>
      </c>
      <c r="I621" t="n">
        <v>10.2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46321</v>
      </c>
      <c r="F622" t="inlineStr">
        <is>
          <t>BLEKINGE LÄN</t>
        </is>
      </c>
      <c r="G622" t="inlineStr">
        <is>
          <t>RONNEBY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8452-2024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45354</v>
      </c>
      <c r="E623" s="1" t="n">
        <v>46321</v>
      </c>
      <c r="F623" t="inlineStr">
        <is>
          <t>BLEKINGE LÄN</t>
        </is>
      </c>
      <c r="G623" t="inlineStr">
        <is>
          <t>RONNEBY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16077-2023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46321</v>
      </c>
      <c r="F624" t="inlineStr">
        <is>
          <t>BLEKINGE LÄN</t>
        </is>
      </c>
      <c r="G624" t="inlineStr">
        <is>
          <t>RONNEBY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46321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64459-2023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45280</v>
      </c>
      <c r="E626" s="1" t="n">
        <v>46321</v>
      </c>
      <c r="F626" t="inlineStr">
        <is>
          <t>BLEKINGE LÄN</t>
        </is>
      </c>
      <c r="G626" t="inlineStr">
        <is>
          <t>RONNEBY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61740-2022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44917</v>
      </c>
      <c r="E627" s="1" t="n">
        <v>46321</v>
      </c>
      <c r="F627" t="inlineStr">
        <is>
          <t>BLEKINGE LÄN</t>
        </is>
      </c>
      <c r="G627" t="inlineStr">
        <is>
          <t>RONNEBY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39466-2023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46321</v>
      </c>
      <c r="F628" t="inlineStr">
        <is>
          <t>BLEKINGE LÄN</t>
        </is>
      </c>
      <c r="G628" t="inlineStr">
        <is>
          <t>RONNEBY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14234-2022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44651</v>
      </c>
      <c r="E629" s="1" t="n">
        <v>46321</v>
      </c>
      <c r="F629" t="inlineStr">
        <is>
          <t>BLEKINGE LÄN</t>
        </is>
      </c>
      <c r="G629" t="inlineStr">
        <is>
          <t>RONNEBY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44966</v>
      </c>
      <c r="E630" s="1" t="n">
        <v>46321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45001</v>
      </c>
      <c r="E631" s="1" t="n">
        <v>46321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44945</v>
      </c>
      <c r="E632" s="1" t="n">
        <v>46321</v>
      </c>
      <c r="F632" t="inlineStr">
        <is>
          <t>BLEKINGE LÄN</t>
        </is>
      </c>
      <c r="G632" t="inlineStr">
        <is>
          <t>RONNEBY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44992</v>
      </c>
      <c r="E633" s="1" t="n">
        <v>46321</v>
      </c>
      <c r="F633" t="inlineStr">
        <is>
          <t>BLEKINGE LÄN</t>
        </is>
      </c>
      <c r="G633" t="inlineStr">
        <is>
          <t>RONNEBY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7454-2021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44474</v>
      </c>
      <c r="E634" s="1" t="n">
        <v>46321</v>
      </c>
      <c r="F634" t="inlineStr">
        <is>
          <t>BLEKINGE LÄN</t>
        </is>
      </c>
      <c r="G634" t="inlineStr">
        <is>
          <t>RONNEBY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4024-2022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44755</v>
      </c>
      <c r="E635" s="1" t="n">
        <v>46321</v>
      </c>
      <c r="F635" t="inlineStr">
        <is>
          <t>BLEKINGE LÄN</t>
        </is>
      </c>
      <c r="G635" t="inlineStr">
        <is>
          <t>RONNEBY</t>
        </is>
      </c>
      <c r="I635" t="n">
        <v>13.5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949-2022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44608</v>
      </c>
      <c r="E636" s="1" t="n">
        <v>46321</v>
      </c>
      <c r="F636" t="inlineStr">
        <is>
          <t>BLEKINGE LÄN</t>
        </is>
      </c>
      <c r="G636" t="inlineStr">
        <is>
          <t>RONNEBY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749-2023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44986</v>
      </c>
      <c r="E637" s="1" t="n">
        <v>46321</v>
      </c>
      <c r="F637" t="inlineStr">
        <is>
          <t>BLEKINGE LÄN</t>
        </is>
      </c>
      <c r="G637" t="inlineStr">
        <is>
          <t>RONNEBY</t>
        </is>
      </c>
      <c r="H637" t="inlineStr">
        <is>
          <t>Övriga Aktiebolag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2759-2024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45485</v>
      </c>
      <c r="E638" s="1" t="n">
        <v>46321</v>
      </c>
      <c r="F638" t="inlineStr">
        <is>
          <t>BLEKINGE LÄN</t>
        </is>
      </c>
      <c r="G638" t="inlineStr">
        <is>
          <t>RONNEBY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5159-2024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45646</v>
      </c>
      <c r="E639" s="1" t="n">
        <v>46321</v>
      </c>
      <c r="F639" t="inlineStr">
        <is>
          <t>BLEKINGE LÄN</t>
        </is>
      </c>
      <c r="G639" t="inlineStr">
        <is>
          <t>RONNEBY</t>
        </is>
      </c>
      <c r="I639" t="n">
        <v>75.90000000000001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4617-2024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45602</v>
      </c>
      <c r="E640" s="1" t="n">
        <v>46321</v>
      </c>
      <c r="F640" t="inlineStr">
        <is>
          <t>BLEKINGE LÄN</t>
        </is>
      </c>
      <c r="G640" t="inlineStr">
        <is>
          <t>RONNEBY</t>
        </is>
      </c>
      <c r="I640" t="n">
        <v>65.2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4090-2024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45573</v>
      </c>
      <c r="E641" s="1" t="n">
        <v>46321</v>
      </c>
      <c r="F641" t="inlineStr">
        <is>
          <t>BLEKINGE LÄN</t>
        </is>
      </c>
      <c r="G641" t="inlineStr">
        <is>
          <t>RONNEBY</t>
        </is>
      </c>
      <c r="I641" t="n">
        <v>35.7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45656</v>
      </c>
      <c r="E642" s="1" t="n">
        <v>46321</v>
      </c>
      <c r="F642" t="inlineStr">
        <is>
          <t>BLEKINGE LÄN</t>
        </is>
      </c>
      <c r="G642" t="inlineStr">
        <is>
          <t>RONNEBY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385-2023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44959</v>
      </c>
      <c r="E643" s="1" t="n">
        <v>46321</v>
      </c>
      <c r="F643" t="inlineStr">
        <is>
          <t>BLEKINGE LÄN</t>
        </is>
      </c>
      <c r="G643" t="inlineStr">
        <is>
          <t>RONNEBY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2196-2024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45457</v>
      </c>
      <c r="E644" s="1" t="n">
        <v>46321</v>
      </c>
      <c r="F644" t="inlineStr">
        <is>
          <t>BLEKINGE LÄN</t>
        </is>
      </c>
      <c r="G644" t="inlineStr">
        <is>
          <t>RONNEBY</t>
        </is>
      </c>
      <c r="I644" t="n">
        <v>19.6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2689-2023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45154</v>
      </c>
      <c r="E645" s="1" t="n">
        <v>46321</v>
      </c>
      <c r="F645" t="inlineStr">
        <is>
          <t>BLEKINGE LÄN</t>
        </is>
      </c>
      <c r="G645" t="inlineStr">
        <is>
          <t>RONNEBY</t>
        </is>
      </c>
      <c r="I645" t="n">
        <v>17.8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2690-2023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46321</v>
      </c>
      <c r="F646" t="inlineStr">
        <is>
          <t>BLEKINGE LÄN</t>
        </is>
      </c>
      <c r="G646" t="inlineStr">
        <is>
          <t>RONNEBY</t>
        </is>
      </c>
      <c r="I646" t="n">
        <v>17.3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206-2026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46050</v>
      </c>
      <c r="E647" s="1" t="n">
        <v>46321</v>
      </c>
      <c r="F647" t="inlineStr">
        <is>
          <t>BLEKINGE LÄN</t>
        </is>
      </c>
      <c r="G647" t="inlineStr">
        <is>
          <t>RONNEBY</t>
        </is>
      </c>
      <c r="H647" t="inlineStr">
        <is>
          <t>Övriga Aktiebolag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46064</v>
      </c>
      <c r="E648" s="1" t="n">
        <v>46321</v>
      </c>
      <c r="F648" t="inlineStr">
        <is>
          <t>BLEKINGE LÄN</t>
        </is>
      </c>
      <c r="G648" t="inlineStr">
        <is>
          <t>RONNEBY</t>
        </is>
      </c>
      <c r="I648" t="n">
        <v>24.3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782-2026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46099</v>
      </c>
      <c r="E649" s="1" t="n">
        <v>46321</v>
      </c>
      <c r="F649" t="inlineStr">
        <is>
          <t>BLEKINGE LÄN</t>
        </is>
      </c>
      <c r="G649" t="inlineStr">
        <is>
          <t>RONNEBY</t>
        </is>
      </c>
      <c r="I649" t="n">
        <v>26.6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2026-10-26T03:08:27Z</dcterms:created>
  <dcterms:modified xmlns:dcterms="http://purl.org/dc/terms/" xmlns:xsi="http://www.w3.org/2001/XMLSchema-instance" xsi:type="dcterms:W3CDTF">2026-10-26T03:08:28Z</dcterms:modified>
</cp:coreProperties>
</file>