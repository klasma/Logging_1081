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46282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46282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46282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46282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46282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46282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46282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46282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46282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46282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46282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46282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46282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46282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46282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46282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46282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46282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46282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46282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46282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46282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46282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46282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46282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45413-2023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46282</v>
      </c>
      <c r="F36" t="inlineStr">
        <is>
          <t>BLEKINGE LÄN</t>
        </is>
      </c>
      <c r="G36" t="inlineStr">
        <is>
          <t>RONNEBY</t>
        </is>
      </c>
      <c r="I36" t="n">
        <v>2.2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HYPERLINK("https://klasma.github.io/Logging_1081/artfynd/A 45413-2023 artfynd.xlsx", "A 45413-2023")</f>
        <v/>
      </c>
      <c r="X36">
        <f>HYPERLINK("https://klasma.github.io/Logging_1081/kartor/A 45413-2023 karta.png", "A 45413-2023")</f>
        <v/>
      </c>
      <c r="Y36">
        <f>HYPERLINK("https://klasma.github.io/Logging_1081/kartor_geotiff/A 45413-2023 georefererad karta.tif", "A 45413-2023")</f>
        <v/>
      </c>
      <c r="AA36">
        <f>HYPERLINK("https://klasma.github.io/Logging_1081/klagomål/A 45413-2023 FSC-klagomål.docx", "A 45413-2023")</f>
        <v/>
      </c>
      <c r="AB36">
        <f>HYPERLINK("https://klasma.github.io/Logging_1081/klagomålsmail/A 45413-2023 FSC-klagomål mail.docx", "A 45413-2023")</f>
        <v/>
      </c>
      <c r="AC36">
        <f>HYPERLINK("https://klasma.github.io/Logging_1081/tillsyn/A 45413-2023 tillsynsbegäran.docx", "A 45413-2023")</f>
        <v/>
      </c>
      <c r="AD36">
        <f>HYPERLINK("https://klasma.github.io/Logging_1081/tillsynsmail/A 45413-2023 tillsynsbegäran mail.docx", "A 45413-2023")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46282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41053-2024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45559</v>
      </c>
      <c r="E38" s="1" t="n">
        <v>46282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Hårklomossa</t>
        </is>
      </c>
      <c r="W38">
        <f>HYPERLINK("https://klasma.github.io/Logging_1081/artfynd/A 41053-2024 artfynd.xlsx", "A 41053-2024")</f>
        <v/>
      </c>
      <c r="X38">
        <f>HYPERLINK("https://klasma.github.io/Logging_1081/kartor/A 41053-2024 karta.png", "A 41053-2024")</f>
        <v/>
      </c>
      <c r="Y38">
        <f>HYPERLINK("https://klasma.github.io/Logging_1081/kartor_geotiff/A 41053-2024 georefererad karta.tif", "A 41053-2024")</f>
        <v/>
      </c>
      <c r="AA38">
        <f>HYPERLINK("https://klasma.github.io/Logging_1081/klagomål/A 41053-2024 FSC-klagomål.docx", "A 41053-2024")</f>
        <v/>
      </c>
      <c r="AB38">
        <f>HYPERLINK("https://klasma.github.io/Logging_1081/klagomålsmail/A 41053-2024 FSC-klagomål mail.docx", "A 41053-2024")</f>
        <v/>
      </c>
      <c r="AC38">
        <f>HYPERLINK("https://klasma.github.io/Logging_1081/tillsyn/A 41053-2024 tillsynsbegäran.docx", "A 41053-2024")</f>
        <v/>
      </c>
      <c r="AD38">
        <f>HYPERLINK("https://klasma.github.io/Logging_1081/tillsynsmail/A 41053-2024 tillsynsbegäran mail.docx", "A 41053-2024")</f>
        <v/>
      </c>
    </row>
    <row r="39" ht="15" customHeight="1">
      <c r="A39" t="inlineStr">
        <is>
          <t>A 25104-2026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46282</v>
      </c>
      <c r="F39" t="inlineStr">
        <is>
          <t>BLEKINGE LÄN</t>
        </is>
      </c>
      <c r="G39" t="inlineStr">
        <is>
          <t>RONNEBY</t>
        </is>
      </c>
      <c r="I39" t="n">
        <v>1.1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Backsippa</t>
        </is>
      </c>
      <c r="W39">
        <f>HYPERLINK("https://klasma.github.io/Logging_1081/artfynd/A 25104-2026 artfynd.xlsx", "A 25104-2026")</f>
        <v/>
      </c>
      <c r="X39">
        <f>HYPERLINK("https://klasma.github.io/Logging_1081/kartor/A 25104-2026 karta.png", "A 25104-2026")</f>
        <v/>
      </c>
      <c r="Y39">
        <f>HYPERLINK("https://klasma.github.io/Logging_1081/kartor_geotiff/A 25104-2026 georefererad karta.tif", "A 25104-2026")</f>
        <v/>
      </c>
      <c r="AA39">
        <f>HYPERLINK("https://klasma.github.io/Logging_1081/klagomål/A 25104-2026 FSC-klagomål.docx", "A 25104-2026")</f>
        <v/>
      </c>
      <c r="AB39">
        <f>HYPERLINK("https://klasma.github.io/Logging_1081/klagomålsmail/A 25104-2026 FSC-klagomål mail.docx", "A 25104-2026")</f>
        <v/>
      </c>
      <c r="AC39">
        <f>HYPERLINK("https://klasma.github.io/Logging_1081/tillsyn/A 25104-2026 tillsynsbegäran.docx", "A 25104-2026")</f>
        <v/>
      </c>
      <c r="AD39">
        <f>HYPERLINK("https://klasma.github.io/Logging_1081/tillsynsmail/A 25104-2026 tillsynsbegäran mail.docx", "A 25104-2026")</f>
        <v/>
      </c>
    </row>
    <row r="40" ht="15" customHeight="1">
      <c r="A40" t="inlineStr">
        <is>
          <t>A 26288-2026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46182</v>
      </c>
      <c r="E40" s="1" t="n">
        <v>46282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1.6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Havstulpanlav</t>
        </is>
      </c>
      <c r="W40">
        <f>HYPERLINK("https://klasma.github.io/Logging_1081/artfynd/A 26288-2026 artfynd.xlsx", "A 26288-2026")</f>
        <v/>
      </c>
      <c r="X40">
        <f>HYPERLINK("https://klasma.github.io/Logging_1081/kartor/A 26288-2026 karta.png", "A 26288-2026")</f>
        <v/>
      </c>
      <c r="Y40">
        <f>HYPERLINK("https://klasma.github.io/Logging_1081/kartor_geotiff/A 26288-2026 georefererad karta.tif", "A 26288-2026")</f>
        <v/>
      </c>
      <c r="AA40">
        <f>HYPERLINK("https://klasma.github.io/Logging_1081/klagomål/A 26288-2026 FSC-klagomål.docx", "A 26288-2026")</f>
        <v/>
      </c>
      <c r="AB40">
        <f>HYPERLINK("https://klasma.github.io/Logging_1081/klagomålsmail/A 26288-2026 FSC-klagomål mail.docx", "A 26288-2026")</f>
        <v/>
      </c>
      <c r="AC40">
        <f>HYPERLINK("https://klasma.github.io/Logging_1081/tillsyn/A 26288-2026 tillsynsbegäran.docx", "A 26288-2026")</f>
        <v/>
      </c>
      <c r="AD40">
        <f>HYPERLINK("https://klasma.github.io/Logging_1081/tillsynsmail/A 26288-2026 tillsynsbegäran mail.docx", "A 26288-2026")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46282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46282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7842-2023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44973</v>
      </c>
      <c r="E43" s="1" t="n">
        <v>46282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HYPERLINK("https://klasma.github.io/Logging_1081/artfynd/A 7842-2023 artfynd.xlsx", "A 7842-2023")</f>
        <v/>
      </c>
      <c r="X43">
        <f>HYPERLINK("https://klasma.github.io/Logging_1081/kartor/A 7842-2023 karta.png", "A 7842-2023")</f>
        <v/>
      </c>
      <c r="Y43">
        <f>HYPERLINK("https://klasma.github.io/Logging_1081/kartor_geotiff/A 7842-2023 georefererad karta.tif", "A 7842-2023")</f>
        <v/>
      </c>
      <c r="AA43">
        <f>HYPERLINK("https://klasma.github.io/Logging_1081/klagomål/A 7842-2023 FSC-klagomål.docx", "A 7842-2023")</f>
        <v/>
      </c>
      <c r="AB43">
        <f>HYPERLINK("https://klasma.github.io/Logging_1081/klagomålsmail/A 7842-2023 FSC-klagomål mail.docx", "A 7842-2023")</f>
        <v/>
      </c>
      <c r="AC43">
        <f>HYPERLINK("https://klasma.github.io/Logging_1081/tillsyn/A 7842-2023 tillsynsbegäran.docx", "A 7842-2023")</f>
        <v/>
      </c>
      <c r="AD43">
        <f>HYPERLINK("https://klasma.github.io/Logging_1081/tillsynsmail/A 7842-2023 tillsynsbegäran mail.docx", "A 7842-2023")</f>
        <v/>
      </c>
    </row>
    <row r="44" ht="15" customHeight="1">
      <c r="A44" t="inlineStr">
        <is>
          <t>A 9922-2025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45717</v>
      </c>
      <c r="E44" s="1" t="n">
        <v>46282</v>
      </c>
      <c r="F44" t="inlineStr">
        <is>
          <t>BLEKINGE LÄN</t>
        </is>
      </c>
      <c r="G44" t="inlineStr">
        <is>
          <t>RONNEBY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Trädporella</t>
        </is>
      </c>
      <c r="W44">
        <f>HYPERLINK("https://klasma.github.io/Logging_1081/artfynd/A 9922-2025 artfynd.xlsx", "A 9922-2025")</f>
        <v/>
      </c>
      <c r="X44">
        <f>HYPERLINK("https://klasma.github.io/Logging_1081/kartor/A 9922-2025 karta.png", "A 9922-2025")</f>
        <v/>
      </c>
      <c r="Y44">
        <f>HYPERLINK("https://klasma.github.io/Logging_1081/kartor_geotiff/A 9922-2025 georefererad karta.tif", "A 9922-2025")</f>
        <v/>
      </c>
      <c r="AA44">
        <f>HYPERLINK("https://klasma.github.io/Logging_1081/klagomål/A 9922-2025 FSC-klagomål.docx", "A 9922-2025")</f>
        <v/>
      </c>
      <c r="AB44">
        <f>HYPERLINK("https://klasma.github.io/Logging_1081/klagomålsmail/A 9922-2025 FSC-klagomål mail.docx", "A 9922-2025")</f>
        <v/>
      </c>
      <c r="AC44">
        <f>HYPERLINK("https://klasma.github.io/Logging_1081/tillsyn/A 9922-2025 tillsynsbegäran.docx", "A 9922-2025")</f>
        <v/>
      </c>
      <c r="AD44">
        <f>HYPERLINK("https://klasma.github.io/Logging_1081/tillsynsmail/A 9922-2025 tillsynsbegäran mail.docx", "A 9922-2025")</f>
        <v/>
      </c>
    </row>
    <row r="45" ht="15" customHeight="1">
      <c r="A45" t="inlineStr">
        <is>
          <t>A 14940-2023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46282</v>
      </c>
      <c r="F45" t="inlineStr">
        <is>
          <t>BLEKINGE LÄN</t>
        </is>
      </c>
      <c r="G45" t="inlineStr">
        <is>
          <t>RONNEBY</t>
        </is>
      </c>
      <c r="H45" t="inlineStr">
        <is>
          <t>Övriga statliga verk och myndigheter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Grönhjon</t>
        </is>
      </c>
      <c r="W45">
        <f>HYPERLINK("https://klasma.github.io/Logging_1081/artfynd/A 14940-2023 artfynd.xlsx", "A 14940-2023")</f>
        <v/>
      </c>
      <c r="X45">
        <f>HYPERLINK("https://klasma.github.io/Logging_1081/kartor/A 14940-2023 karta.png", "A 14940-2023")</f>
        <v/>
      </c>
      <c r="Y45">
        <f>HYPERLINK("https://klasma.github.io/Logging_1081/kartor_geotiff/A 14940-2023 georefererad karta.tif", "A 14940-2023")</f>
        <v/>
      </c>
      <c r="AA45">
        <f>HYPERLINK("https://klasma.github.io/Logging_1081/klagomål/A 14940-2023 FSC-klagomål.docx", "A 14940-2023")</f>
        <v/>
      </c>
      <c r="AB45">
        <f>HYPERLINK("https://klasma.github.io/Logging_1081/klagomålsmail/A 14940-2023 FSC-klagomål mail.docx", "A 14940-2023")</f>
        <v/>
      </c>
      <c r="AC45">
        <f>HYPERLINK("https://klasma.github.io/Logging_1081/tillsyn/A 14940-2023 tillsynsbegäran.docx", "A 14940-2023")</f>
        <v/>
      </c>
      <c r="AD45">
        <f>HYPERLINK("https://klasma.github.io/Logging_1081/tillsynsmail/A 14940-2023 tillsynsbegäran mail.docx", "A 14940-2023")</f>
        <v/>
      </c>
    </row>
    <row r="46" ht="15" customHeight="1">
      <c r="A46" t="inlineStr">
        <is>
          <t>A 21446-2023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46282</v>
      </c>
      <c r="F46" t="inlineStr">
        <is>
          <t>BLEKINGE LÄN</t>
        </is>
      </c>
      <c r="G46" t="inlineStr">
        <is>
          <t>RONNEBY</t>
        </is>
      </c>
      <c r="H46" t="inlineStr">
        <is>
          <t>Kommuner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HYPERLINK("https://klasma.github.io/Logging_1081/artfynd/A 21446-2023 artfynd.xlsx", "A 21446-2023")</f>
        <v/>
      </c>
      <c r="X46">
        <f>HYPERLINK("https://klasma.github.io/Logging_1081/kartor/A 21446-2023 karta.png", "A 21446-2023")</f>
        <v/>
      </c>
      <c r="Y46">
        <f>HYPERLINK("https://klasma.github.io/Logging_1081/kartor_geotiff/A 21446-2023 georefererad karta.tif", "A 21446-2023")</f>
        <v/>
      </c>
      <c r="AA46">
        <f>HYPERLINK("https://klasma.github.io/Logging_1081/klagomål/A 21446-2023 FSC-klagomål.docx", "A 21446-2023")</f>
        <v/>
      </c>
      <c r="AB46">
        <f>HYPERLINK("https://klasma.github.io/Logging_1081/klagomålsmail/A 21446-2023 FSC-klagomål mail.docx", "A 21446-2023")</f>
        <v/>
      </c>
      <c r="AC46">
        <f>HYPERLINK("https://klasma.github.io/Logging_1081/tillsyn/A 21446-2023 tillsynsbegäran.docx", "A 21446-2023")</f>
        <v/>
      </c>
      <c r="AD46">
        <f>HYPERLINK("https://klasma.github.io/Logging_1081/tillsynsmail/A 21446-2023 tillsynsbegäran mail.docx", "A 21446-2023")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46282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46282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46282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46282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46282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46282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46282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46282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46282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46282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46282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46282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46282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46282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46282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46282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46282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46282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46282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46282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46282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46282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46282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46282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46282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46282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46282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46282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46282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46282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46282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46282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46282</v>
      </c>
      <c r="F81" t="inlineStr">
        <is>
          <t>BLEKINGE LÄN</t>
        </is>
      </c>
      <c r="G81" t="inlineStr">
        <is>
          <t>RONNEBY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46282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46282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44576</v>
      </c>
      <c r="E84" s="1" t="n">
        <v>46282</v>
      </c>
      <c r="F84" t="inlineStr">
        <is>
          <t>BLEKINGE LÄN</t>
        </is>
      </c>
      <c r="G84" t="inlineStr">
        <is>
          <t>RONNEBY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46282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46282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46282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46282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46282</v>
      </c>
      <c r="F89" t="inlineStr">
        <is>
          <t>BLEKINGE LÄN</t>
        </is>
      </c>
      <c r="G89" t="inlineStr">
        <is>
          <t>RONNEBY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46282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46282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46282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46282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66288-2021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46282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46282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46282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44694</v>
      </c>
      <c r="E97" s="1" t="n">
        <v>46282</v>
      </c>
      <c r="F97" t="inlineStr">
        <is>
          <t>BLEKINGE LÄN</t>
        </is>
      </c>
      <c r="G97" t="inlineStr">
        <is>
          <t>RONNEBY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46282</v>
      </c>
      <c r="F98" t="inlineStr">
        <is>
          <t>BLEKINGE LÄN</t>
        </is>
      </c>
      <c r="G98" t="inlineStr">
        <is>
          <t>RONNEBY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46282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46282</v>
      </c>
      <c r="F100" t="inlineStr">
        <is>
          <t>BLEKINGE LÄN</t>
        </is>
      </c>
      <c r="G100" t="inlineStr">
        <is>
          <t>RONNEBY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46282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46282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46282</v>
      </c>
      <c r="F103" t="inlineStr">
        <is>
          <t>BLEKINGE LÄN</t>
        </is>
      </c>
      <c r="G103" t="inlineStr">
        <is>
          <t>RONNEBY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46282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46282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46282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46282</v>
      </c>
      <c r="F107" t="inlineStr">
        <is>
          <t>BLEKINGE LÄN</t>
        </is>
      </c>
      <c r="G107" t="inlineStr">
        <is>
          <t>RONNEBY</t>
        </is>
      </c>
      <c r="H107" t="inlineStr">
        <is>
          <t>Övriga Aktiebolag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46282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46282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46282</v>
      </c>
      <c r="F110" t="inlineStr">
        <is>
          <t>BLEKINGE LÄN</t>
        </is>
      </c>
      <c r="G110" t="inlineStr">
        <is>
          <t>RONNEBY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44630</v>
      </c>
      <c r="E111" s="1" t="n">
        <v>46282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46282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46282</v>
      </c>
      <c r="F113" t="inlineStr">
        <is>
          <t>BLEKINGE LÄN</t>
        </is>
      </c>
      <c r="G113" t="inlineStr">
        <is>
          <t>RONNEBY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46282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44903</v>
      </c>
      <c r="E115" s="1" t="n">
        <v>46282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46282</v>
      </c>
      <c r="F116" t="inlineStr">
        <is>
          <t>BLEKINGE LÄN</t>
        </is>
      </c>
      <c r="G116" t="inlineStr">
        <is>
          <t>RONNEBY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46282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46282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46282</v>
      </c>
      <c r="F119" t="inlineStr">
        <is>
          <t>BLEKINGE LÄN</t>
        </is>
      </c>
      <c r="G119" t="inlineStr">
        <is>
          <t>RONNEBY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46282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46282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46282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44617</v>
      </c>
      <c r="E123" s="1" t="n">
        <v>46282</v>
      </c>
      <c r="F123" t="inlineStr">
        <is>
          <t>BLEKINGE LÄN</t>
        </is>
      </c>
      <c r="G123" t="inlineStr">
        <is>
          <t>RONNEBY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46282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46282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44903</v>
      </c>
      <c r="E126" s="1" t="n">
        <v>46282</v>
      </c>
      <c r="F126" t="inlineStr">
        <is>
          <t>BLEKINGE LÄN</t>
        </is>
      </c>
      <c r="G126" t="inlineStr">
        <is>
          <t>RONNEBY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46282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46282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44987</v>
      </c>
      <c r="E129" s="1" t="n">
        <v>46282</v>
      </c>
      <c r="F129" t="inlineStr">
        <is>
          <t>BLEKINGE LÄN</t>
        </is>
      </c>
      <c r="G129" t="inlineStr">
        <is>
          <t>RONNEBY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46282</v>
      </c>
      <c r="F130" t="inlineStr">
        <is>
          <t>BLEKINGE LÄN</t>
        </is>
      </c>
      <c r="G130" t="inlineStr">
        <is>
          <t>RONNEBY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46282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46282</v>
      </c>
      <c r="F132" t="inlineStr">
        <is>
          <t>BLEKINGE LÄN</t>
        </is>
      </c>
      <c r="G132" t="inlineStr">
        <is>
          <t>RONNEBY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46282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45238</v>
      </c>
      <c r="E134" s="1" t="n">
        <v>46282</v>
      </c>
      <c r="F134" t="inlineStr">
        <is>
          <t>BLEKINGE LÄN</t>
        </is>
      </c>
      <c r="G134" t="inlineStr">
        <is>
          <t>RONNEBY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46282</v>
      </c>
      <c r="F135" t="inlineStr">
        <is>
          <t>BLEKINGE LÄN</t>
        </is>
      </c>
      <c r="G135" t="inlineStr">
        <is>
          <t>RONNEBY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46282</v>
      </c>
      <c r="F136" t="inlineStr">
        <is>
          <t>BLEKINGE LÄN</t>
        </is>
      </c>
      <c r="G136" t="inlineStr">
        <is>
          <t>RONNEBY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46282</v>
      </c>
      <c r="F137" t="inlineStr">
        <is>
          <t>BLEKINGE LÄN</t>
        </is>
      </c>
      <c r="G137" t="inlineStr">
        <is>
          <t>RONNEBY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46282</v>
      </c>
      <c r="F138" t="inlineStr">
        <is>
          <t>BLEKINGE LÄN</t>
        </is>
      </c>
      <c r="G138" t="inlineStr">
        <is>
          <t>RONNEBY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46282</v>
      </c>
      <c r="F139" t="inlineStr">
        <is>
          <t>BLEKINGE LÄN</t>
        </is>
      </c>
      <c r="G139" t="inlineStr">
        <is>
          <t>RONNEBY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45128</v>
      </c>
      <c r="E140" s="1" t="n">
        <v>46282</v>
      </c>
      <c r="F140" t="inlineStr">
        <is>
          <t>BLEKINGE LÄN</t>
        </is>
      </c>
      <c r="G140" t="inlineStr">
        <is>
          <t>RONNEBY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46282</v>
      </c>
      <c r="F141" t="inlineStr">
        <is>
          <t>BLEKINGE LÄN</t>
        </is>
      </c>
      <c r="G141" t="inlineStr">
        <is>
          <t>RONNEBY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46282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45503</v>
      </c>
      <c r="E143" s="1" t="n">
        <v>46282</v>
      </c>
      <c r="F143" t="inlineStr">
        <is>
          <t>BLEKINGE LÄN</t>
        </is>
      </c>
      <c r="G143" t="inlineStr">
        <is>
          <t>RONNEBY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45739</v>
      </c>
      <c r="E144" s="1" t="n">
        <v>46282</v>
      </c>
      <c r="F144" t="inlineStr">
        <is>
          <t>BLEKINGE LÄN</t>
        </is>
      </c>
      <c r="G144" t="inlineStr">
        <is>
          <t>RONNEBY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44987</v>
      </c>
      <c r="E145" s="1" t="n">
        <v>46282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44987</v>
      </c>
      <c r="E146" s="1" t="n">
        <v>46282</v>
      </c>
      <c r="F146" t="inlineStr">
        <is>
          <t>BLEKINGE LÄN</t>
        </is>
      </c>
      <c r="G146" t="inlineStr">
        <is>
          <t>RONNEBY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45061</v>
      </c>
      <c r="E147" s="1" t="n">
        <v>46282</v>
      </c>
      <c r="F147" t="inlineStr">
        <is>
          <t>BLEKINGE LÄN</t>
        </is>
      </c>
      <c r="G147" t="inlineStr">
        <is>
          <t>RONNEBY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46282</v>
      </c>
      <c r="F148" t="inlineStr">
        <is>
          <t>BLEKINGE LÄN</t>
        </is>
      </c>
      <c r="G148" t="inlineStr">
        <is>
          <t>RONNEBY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46282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45201</v>
      </c>
      <c r="E150" s="1" t="n">
        <v>46282</v>
      </c>
      <c r="F150" t="inlineStr">
        <is>
          <t>BLEKINGE LÄN</t>
        </is>
      </c>
      <c r="G150" t="inlineStr">
        <is>
          <t>RONNEBY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46282</v>
      </c>
      <c r="F151" t="inlineStr">
        <is>
          <t>BLEKINGE LÄN</t>
        </is>
      </c>
      <c r="G151" t="inlineStr">
        <is>
          <t>RONNEBY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46282</v>
      </c>
      <c r="F152" t="inlineStr">
        <is>
          <t>BLEKINGE LÄN</t>
        </is>
      </c>
      <c r="G152" t="inlineStr">
        <is>
          <t>RONNEBY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45115</v>
      </c>
      <c r="E153" s="1" t="n">
        <v>46282</v>
      </c>
      <c r="F153" t="inlineStr">
        <is>
          <t>BLEKINGE LÄN</t>
        </is>
      </c>
      <c r="G153" t="inlineStr">
        <is>
          <t>RONNEBY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46282</v>
      </c>
      <c r="F154" t="inlineStr">
        <is>
          <t>BLEKINGE LÄN</t>
        </is>
      </c>
      <c r="G154" t="inlineStr">
        <is>
          <t>RONNEBY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46282</v>
      </c>
      <c r="F155" t="inlineStr">
        <is>
          <t>BLEKINGE LÄN</t>
        </is>
      </c>
      <c r="G155" t="inlineStr">
        <is>
          <t>RONNEBY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46282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46282</v>
      </c>
      <c r="F157" t="inlineStr">
        <is>
          <t>BLEKINGE LÄN</t>
        </is>
      </c>
      <c r="G157" t="inlineStr">
        <is>
          <t>RONNEBY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46282</v>
      </c>
      <c r="F158" t="inlineStr">
        <is>
          <t>BLEKINGE LÄN</t>
        </is>
      </c>
      <c r="G158" t="inlineStr">
        <is>
          <t>RONNEBY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46282</v>
      </c>
      <c r="F159" t="inlineStr">
        <is>
          <t>BLEKINGE LÄN</t>
        </is>
      </c>
      <c r="G159" t="inlineStr">
        <is>
          <t>RONNEBY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44908</v>
      </c>
      <c r="E160" s="1" t="n">
        <v>46282</v>
      </c>
      <c r="F160" t="inlineStr">
        <is>
          <t>BLEKINGE LÄN</t>
        </is>
      </c>
      <c r="G160" t="inlineStr">
        <is>
          <t>RONNEBY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46282</v>
      </c>
      <c r="F161" t="inlineStr">
        <is>
          <t>BLEKINGE LÄN</t>
        </is>
      </c>
      <c r="G161" t="inlineStr">
        <is>
          <t>RONNEBY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46282</v>
      </c>
      <c r="F162" t="inlineStr">
        <is>
          <t>BLEKINGE LÄN</t>
        </is>
      </c>
      <c r="G162" t="inlineStr">
        <is>
          <t>RONNEBY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30197-2024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45490</v>
      </c>
      <c r="E163" s="1" t="n">
        <v>46282</v>
      </c>
      <c r="F163" t="inlineStr">
        <is>
          <t>BLEKINGE LÄN</t>
        </is>
      </c>
      <c r="G163" t="inlineStr">
        <is>
          <t>RONNEBY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25861-2025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46282</v>
      </c>
      <c r="F164" t="inlineStr">
        <is>
          <t>BLEKINGE LÄN</t>
        </is>
      </c>
      <c r="G164" t="inlineStr">
        <is>
          <t>RONNEBY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45785</v>
      </c>
      <c r="E165" s="1" t="n">
        <v>46282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46282</v>
      </c>
      <c r="F166" t="inlineStr">
        <is>
          <t>BLEKINGE LÄN</t>
        </is>
      </c>
      <c r="G166" t="inlineStr">
        <is>
          <t>RONNEBY</t>
        </is>
      </c>
      <c r="H166" t="inlineStr">
        <is>
          <t>Övriga statliga verk och myndigheter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44939</v>
      </c>
      <c r="E167" s="1" t="n">
        <v>46282</v>
      </c>
      <c r="F167" t="inlineStr">
        <is>
          <t>BLEKINGE LÄN</t>
        </is>
      </c>
      <c r="G167" t="inlineStr">
        <is>
          <t>RONNEBY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46282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46282</v>
      </c>
      <c r="F169" t="inlineStr">
        <is>
          <t>BLEKINGE LÄN</t>
        </is>
      </c>
      <c r="G169" t="inlineStr">
        <is>
          <t>RONNEBY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46282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46282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35589-2023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46282</v>
      </c>
      <c r="F172" t="inlineStr">
        <is>
          <t>BLEKINGE LÄN</t>
        </is>
      </c>
      <c r="G172" t="inlineStr">
        <is>
          <t>RONNEBY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46282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46282</v>
      </c>
      <c r="F174" t="inlineStr">
        <is>
          <t>BLEKINGE LÄN</t>
        </is>
      </c>
      <c r="G174" t="inlineStr">
        <is>
          <t>RONNEBY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45892</v>
      </c>
      <c r="E175" s="1" t="n">
        <v>46282</v>
      </c>
      <c r="F175" t="inlineStr">
        <is>
          <t>BLEKINGE LÄN</t>
        </is>
      </c>
      <c r="G175" t="inlineStr">
        <is>
          <t>RONNEBY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45413</v>
      </c>
      <c r="E176" s="1" t="n">
        <v>46282</v>
      </c>
      <c r="F176" t="inlineStr">
        <is>
          <t>BLEKINGE LÄN</t>
        </is>
      </c>
      <c r="G176" t="inlineStr">
        <is>
          <t>RONNEBY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44822</v>
      </c>
      <c r="E177" s="1" t="n">
        <v>46282</v>
      </c>
      <c r="F177" t="inlineStr">
        <is>
          <t>BLEKINGE LÄN</t>
        </is>
      </c>
      <c r="G177" t="inlineStr">
        <is>
          <t>RONNEBY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46282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46282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46282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46282</v>
      </c>
      <c r="F181" t="inlineStr">
        <is>
          <t>BLEKINGE LÄN</t>
        </is>
      </c>
      <c r="G181" t="inlineStr">
        <is>
          <t>RONNEBY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46282</v>
      </c>
      <c r="F182" t="inlineStr">
        <is>
          <t>BLEKINGE LÄN</t>
        </is>
      </c>
      <c r="G182" t="inlineStr">
        <is>
          <t>RONNEBY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46282</v>
      </c>
      <c r="F183" t="inlineStr">
        <is>
          <t>BLEKINGE LÄN</t>
        </is>
      </c>
      <c r="G183" t="inlineStr">
        <is>
          <t>RONNEBY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46282</v>
      </c>
      <c r="F184" t="inlineStr">
        <is>
          <t>BLEKINGE LÄN</t>
        </is>
      </c>
      <c r="G184" t="inlineStr">
        <is>
          <t>RONNEBY</t>
        </is>
      </c>
      <c r="I184" t="n">
        <v>9.199999999999999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46282</v>
      </c>
      <c r="F185" t="inlineStr">
        <is>
          <t>BLEKINGE LÄN</t>
        </is>
      </c>
      <c r="G185" t="inlineStr">
        <is>
          <t>RONNEBY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45743</v>
      </c>
      <c r="E186" s="1" t="n">
        <v>46282</v>
      </c>
      <c r="F186" t="inlineStr">
        <is>
          <t>BLEKINGE LÄN</t>
        </is>
      </c>
      <c r="G186" t="inlineStr">
        <is>
          <t>RONNEBY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46282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46282</v>
      </c>
      <c r="F188" t="inlineStr">
        <is>
          <t>BLEKINGE LÄN</t>
        </is>
      </c>
      <c r="G188" t="inlineStr">
        <is>
          <t>RONNEBY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45833</v>
      </c>
      <c r="E189" s="1" t="n">
        <v>46282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46282</v>
      </c>
      <c r="F190" t="inlineStr">
        <is>
          <t>BLEKINGE LÄN</t>
        </is>
      </c>
      <c r="G190" t="inlineStr">
        <is>
          <t>RONNEBY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46282</v>
      </c>
      <c r="F191" t="inlineStr">
        <is>
          <t>BLEKINGE LÄN</t>
        </is>
      </c>
      <c r="G191" t="inlineStr">
        <is>
          <t>RONNEBY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46282</v>
      </c>
      <c r="F192" t="inlineStr">
        <is>
          <t>BLEKINGE LÄN</t>
        </is>
      </c>
      <c r="G192" t="inlineStr">
        <is>
          <t>RONNEBY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43291-2025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45910</v>
      </c>
      <c r="E193" s="1" t="n">
        <v>46282</v>
      </c>
      <c r="F193" t="inlineStr">
        <is>
          <t>BLEKINGE LÄN</t>
        </is>
      </c>
      <c r="G193" t="inlineStr">
        <is>
          <t>RONNEBY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46282</v>
      </c>
      <c r="F194" t="inlineStr">
        <is>
          <t>BLEKINGE LÄN</t>
        </is>
      </c>
      <c r="G194" t="inlineStr">
        <is>
          <t>RONNEBY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46282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46282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46282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46282</v>
      </c>
      <c r="F198" t="inlineStr">
        <is>
          <t>BLEKINGE LÄN</t>
        </is>
      </c>
      <c r="G198" t="inlineStr">
        <is>
          <t>RONNEBY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46282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46282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46282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32716-2025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46282</v>
      </c>
      <c r="F202" t="inlineStr">
        <is>
          <t>BLEKINGE LÄN</t>
        </is>
      </c>
      <c r="G202" t="inlineStr">
        <is>
          <t>RONNEBY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46282</v>
      </c>
      <c r="F203" t="inlineStr">
        <is>
          <t>BLEKINGE LÄN</t>
        </is>
      </c>
      <c r="G203" t="inlineStr">
        <is>
          <t>RONNEBY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46282</v>
      </c>
      <c r="F204" t="inlineStr">
        <is>
          <t>BLEKINGE LÄN</t>
        </is>
      </c>
      <c r="G204" t="inlineStr">
        <is>
          <t>RONNEBY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46282</v>
      </c>
      <c r="F205" t="inlineStr">
        <is>
          <t>BLEKINGE LÄN</t>
        </is>
      </c>
      <c r="G205" t="inlineStr">
        <is>
          <t>RONNEBY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44754</v>
      </c>
      <c r="E206" s="1" t="n">
        <v>46282</v>
      </c>
      <c r="F206" t="inlineStr">
        <is>
          <t>BLEKINGE LÄN</t>
        </is>
      </c>
      <c r="G206" t="inlineStr">
        <is>
          <t>RONNEBY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46282</v>
      </c>
      <c r="F207" t="inlineStr">
        <is>
          <t>BLEKINGE LÄN</t>
        </is>
      </c>
      <c r="G207" t="inlineStr">
        <is>
          <t>RONNEBY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46282</v>
      </c>
      <c r="F208" t="inlineStr">
        <is>
          <t>BLEKINGE LÄN</t>
        </is>
      </c>
      <c r="G208" t="inlineStr">
        <is>
          <t>RONNEBY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44884</v>
      </c>
      <c r="E209" s="1" t="n">
        <v>46282</v>
      </c>
      <c r="F209" t="inlineStr">
        <is>
          <t>BLEKINGE LÄN</t>
        </is>
      </c>
      <c r="G209" t="inlineStr">
        <is>
          <t>RONNEBY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45843</v>
      </c>
      <c r="E210" s="1" t="n">
        <v>46282</v>
      </c>
      <c r="F210" t="inlineStr">
        <is>
          <t>BLEKINGE LÄN</t>
        </is>
      </c>
      <c r="G210" t="inlineStr">
        <is>
          <t>RONNEBY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46282</v>
      </c>
      <c r="F211" t="inlineStr">
        <is>
          <t>BLEKINGE LÄN</t>
        </is>
      </c>
      <c r="G211" t="inlineStr">
        <is>
          <t>RONNEBY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45724-2025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46282</v>
      </c>
      <c r="F212" t="inlineStr">
        <is>
          <t>BLEKINGE LÄN</t>
        </is>
      </c>
      <c r="G212" t="inlineStr">
        <is>
          <t>RONNEBY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46282</v>
      </c>
      <c r="F213" t="inlineStr">
        <is>
          <t>BLEKINGE LÄN</t>
        </is>
      </c>
      <c r="G213" t="inlineStr">
        <is>
          <t>RONNEBY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34307-2025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46282</v>
      </c>
      <c r="F214" t="inlineStr">
        <is>
          <t>BLEKINGE LÄN</t>
        </is>
      </c>
      <c r="G214" t="inlineStr">
        <is>
          <t>RONNEBY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46282</v>
      </c>
      <c r="F215" t="inlineStr">
        <is>
          <t>BLEKINGE LÄN</t>
        </is>
      </c>
      <c r="G215" t="inlineStr">
        <is>
          <t>RONNEBY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46282</v>
      </c>
      <c r="F216" t="inlineStr">
        <is>
          <t>BLEKINGE LÄN</t>
        </is>
      </c>
      <c r="G216" t="inlineStr">
        <is>
          <t>RONNEBY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46282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35580-2025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45856</v>
      </c>
      <c r="E218" s="1" t="n">
        <v>46282</v>
      </c>
      <c r="F218" t="inlineStr">
        <is>
          <t>BLEKINGE LÄN</t>
        </is>
      </c>
      <c r="G218" t="inlineStr">
        <is>
          <t>RONNEBY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45402</v>
      </c>
      <c r="E219" s="1" t="n">
        <v>46282</v>
      </c>
      <c r="F219" t="inlineStr">
        <is>
          <t>BLEKINGE LÄN</t>
        </is>
      </c>
      <c r="G219" t="inlineStr">
        <is>
          <t>RONNEBY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44600</v>
      </c>
      <c r="E220" s="1" t="n">
        <v>46282</v>
      </c>
      <c r="F220" t="inlineStr">
        <is>
          <t>BLEKINGE LÄN</t>
        </is>
      </c>
      <c r="G220" t="inlineStr">
        <is>
          <t>RONNEBY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46282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46282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46282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46282</v>
      </c>
      <c r="F224" t="inlineStr">
        <is>
          <t>BLEKINGE LÄN</t>
        </is>
      </c>
      <c r="G224" t="inlineStr">
        <is>
          <t>RONNEBY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46282</v>
      </c>
      <c r="F225" t="inlineStr">
        <is>
          <t>BLEKINGE LÄN</t>
        </is>
      </c>
      <c r="G225" t="inlineStr">
        <is>
          <t>RONNEBY</t>
        </is>
      </c>
      <c r="I225" t="n">
        <v>14.4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46282</v>
      </c>
      <c r="F226" t="inlineStr">
        <is>
          <t>BLEKINGE LÄN</t>
        </is>
      </c>
      <c r="G226" t="inlineStr">
        <is>
          <t>RONNEBY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46282</v>
      </c>
      <c r="F227" t="inlineStr">
        <is>
          <t>BLEKINGE LÄN</t>
        </is>
      </c>
      <c r="G227" t="inlineStr">
        <is>
          <t>RONNEBY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46282</v>
      </c>
      <c r="F228" t="inlineStr">
        <is>
          <t>BLEKINGE LÄN</t>
        </is>
      </c>
      <c r="G228" t="inlineStr">
        <is>
          <t>RONNEBY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46282</v>
      </c>
      <c r="F229" t="inlineStr">
        <is>
          <t>BLEKINGE LÄN</t>
        </is>
      </c>
      <c r="G229" t="inlineStr">
        <is>
          <t>RONNEBY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46282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45653</v>
      </c>
      <c r="E231" s="1" t="n">
        <v>46282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46282</v>
      </c>
      <c r="F232" t="inlineStr">
        <is>
          <t>BLEKINGE LÄN</t>
        </is>
      </c>
      <c r="G232" t="inlineStr">
        <is>
          <t>RONNEBY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46282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45947</v>
      </c>
      <c r="E234" s="1" t="n">
        <v>46282</v>
      </c>
      <c r="F234" t="inlineStr">
        <is>
          <t>BLEKINGE LÄN</t>
        </is>
      </c>
      <c r="G234" t="inlineStr">
        <is>
          <t>RONNEBY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46046</v>
      </c>
      <c r="E235" s="1" t="n">
        <v>46282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46282</v>
      </c>
      <c r="F236" t="inlineStr">
        <is>
          <t>BLEKINGE LÄN</t>
        </is>
      </c>
      <c r="G236" t="inlineStr">
        <is>
          <t>RONNEBY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46282</v>
      </c>
      <c r="F237" t="inlineStr">
        <is>
          <t>BLEKINGE LÄN</t>
        </is>
      </c>
      <c r="G237" t="inlineStr">
        <is>
          <t>RONNEBY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46048</v>
      </c>
      <c r="E238" s="1" t="n">
        <v>46282</v>
      </c>
      <c r="F238" t="inlineStr">
        <is>
          <t>BLEKINGE LÄN</t>
        </is>
      </c>
      <c r="G238" t="inlineStr">
        <is>
          <t>RONNEBY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46282</v>
      </c>
      <c r="F239" t="inlineStr">
        <is>
          <t>BLEKINGE LÄN</t>
        </is>
      </c>
      <c r="G239" t="inlineStr">
        <is>
          <t>RONNEBY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46282</v>
      </c>
      <c r="F240" t="inlineStr">
        <is>
          <t>BLEKINGE LÄN</t>
        </is>
      </c>
      <c r="G240" t="inlineStr">
        <is>
          <t>RONNEBY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46282</v>
      </c>
      <c r="F241" t="inlineStr">
        <is>
          <t>BLEKINGE LÄN</t>
        </is>
      </c>
      <c r="G241" t="inlineStr">
        <is>
          <t>RONNEBY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46282</v>
      </c>
      <c r="F242" t="inlineStr">
        <is>
          <t>BLEKINGE LÄN</t>
        </is>
      </c>
      <c r="G242" t="inlineStr">
        <is>
          <t>RONNEBY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45192</v>
      </c>
      <c r="E243" s="1" t="n">
        <v>46282</v>
      </c>
      <c r="F243" t="inlineStr">
        <is>
          <t>BLEKINGE LÄN</t>
        </is>
      </c>
      <c r="G243" t="inlineStr">
        <is>
          <t>RONNEBY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46282</v>
      </c>
      <c r="F244" t="inlineStr">
        <is>
          <t>BLEKINGE LÄN</t>
        </is>
      </c>
      <c r="G244" t="inlineStr">
        <is>
          <t>RONNEBY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46282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52614-2023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46282</v>
      </c>
      <c r="F246" t="inlineStr">
        <is>
          <t>BLEKINGE LÄN</t>
        </is>
      </c>
      <c r="G246" t="inlineStr">
        <is>
          <t>RONNEBY</t>
        </is>
      </c>
      <c r="I246" t="n">
        <v>10.2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46282</v>
      </c>
      <c r="F247" t="inlineStr">
        <is>
          <t>BLEKINGE LÄN</t>
        </is>
      </c>
      <c r="G247" t="inlineStr">
        <is>
          <t>RONNEBY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46282</v>
      </c>
      <c r="F248" t="inlineStr">
        <is>
          <t>BLEKINGE LÄN</t>
        </is>
      </c>
      <c r="G248" t="inlineStr">
        <is>
          <t>RONNEBY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7516-2026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46059</v>
      </c>
      <c r="E249" s="1" t="n">
        <v>46282</v>
      </c>
      <c r="F249" t="inlineStr">
        <is>
          <t>BLEKINGE LÄN</t>
        </is>
      </c>
      <c r="G249" t="inlineStr">
        <is>
          <t>RONNEBY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64465-2023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46282</v>
      </c>
      <c r="F250" t="inlineStr">
        <is>
          <t>BLEKINGE LÄN</t>
        </is>
      </c>
      <c r="G250" t="inlineStr">
        <is>
          <t>RONNEBY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46282</v>
      </c>
      <c r="F251" t="inlineStr">
        <is>
          <t>BLEKINGE LÄN</t>
        </is>
      </c>
      <c r="G251" t="inlineStr">
        <is>
          <t>RONNEBY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45360</v>
      </c>
      <c r="E252" s="1" t="n">
        <v>46282</v>
      </c>
      <c r="F252" t="inlineStr">
        <is>
          <t>BLEKINGE LÄN</t>
        </is>
      </c>
      <c r="G252" t="inlineStr">
        <is>
          <t>RONNEBY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46282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46282</v>
      </c>
      <c r="F254" t="inlineStr">
        <is>
          <t>BLEKINGE LÄN</t>
        </is>
      </c>
      <c r="G254" t="inlineStr">
        <is>
          <t>RONNEBY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46282</v>
      </c>
      <c r="F255" t="inlineStr">
        <is>
          <t>BLEKINGE LÄN</t>
        </is>
      </c>
      <c r="G255" t="inlineStr">
        <is>
          <t>RONNEBY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46282</v>
      </c>
      <c r="F256" t="inlineStr">
        <is>
          <t>BLEKINGE LÄN</t>
        </is>
      </c>
      <c r="G256" t="inlineStr">
        <is>
          <t>RONNEBY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46282</v>
      </c>
      <c r="F257" t="inlineStr">
        <is>
          <t>BLEKINGE LÄN</t>
        </is>
      </c>
      <c r="G257" t="inlineStr">
        <is>
          <t>RONNEBY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56139-2025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46282</v>
      </c>
      <c r="F258" t="inlineStr">
        <is>
          <t>BLEKINGE LÄN</t>
        </is>
      </c>
      <c r="G258" t="inlineStr">
        <is>
          <t>RONNEBY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46282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46282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46282</v>
      </c>
      <c r="F261" t="inlineStr">
        <is>
          <t>BLEKINGE LÄN</t>
        </is>
      </c>
      <c r="G261" t="inlineStr">
        <is>
          <t>RONNEBY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46282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46282</v>
      </c>
      <c r="F263" t="inlineStr">
        <is>
          <t>BLEKINGE LÄN</t>
        </is>
      </c>
      <c r="G263" t="inlineStr">
        <is>
          <t>RONNEBY</t>
        </is>
      </c>
      <c r="H263" t="inlineStr">
        <is>
          <t>Övriga Aktiebolag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46282</v>
      </c>
      <c r="F264" t="inlineStr">
        <is>
          <t>BLEKINGE LÄN</t>
        </is>
      </c>
      <c r="G264" t="inlineStr">
        <is>
          <t>RONNEBY</t>
        </is>
      </c>
      <c r="H264" t="inlineStr">
        <is>
          <t>Kyrkan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46282</v>
      </c>
      <c r="F265" t="inlineStr">
        <is>
          <t>BLEKINGE LÄN</t>
        </is>
      </c>
      <c r="G265" t="inlineStr">
        <is>
          <t>RONNEBY</t>
        </is>
      </c>
      <c r="H265" t="inlineStr">
        <is>
          <t>Kyrkan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45981</v>
      </c>
      <c r="E266" s="1" t="n">
        <v>46282</v>
      </c>
      <c r="F266" t="inlineStr">
        <is>
          <t>BLEKINGE LÄN</t>
        </is>
      </c>
      <c r="G266" t="inlineStr">
        <is>
          <t>RONNEBY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45104</v>
      </c>
      <c r="E267" s="1" t="n">
        <v>46282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46078</v>
      </c>
      <c r="E268" s="1" t="n">
        <v>46282</v>
      </c>
      <c r="F268" t="inlineStr">
        <is>
          <t>BLEKINGE LÄN</t>
        </is>
      </c>
      <c r="G268" t="inlineStr">
        <is>
          <t>RONNEBY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10812-2026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46282</v>
      </c>
      <c r="F269" t="inlineStr">
        <is>
          <t>BLEKINGE LÄN</t>
        </is>
      </c>
      <c r="G269" t="inlineStr">
        <is>
          <t>RONNEBY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46077</v>
      </c>
      <c r="E270" s="1" t="n">
        <v>46282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46078</v>
      </c>
      <c r="E271" s="1" t="n">
        <v>46282</v>
      </c>
      <c r="F271" t="inlineStr">
        <is>
          <t>BLEKINGE LÄN</t>
        </is>
      </c>
      <c r="G271" t="inlineStr">
        <is>
          <t>RONNEBY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58648-2025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45986</v>
      </c>
      <c r="E272" s="1" t="n">
        <v>46282</v>
      </c>
      <c r="F272" t="inlineStr">
        <is>
          <t>BLEKINGE LÄN</t>
        </is>
      </c>
      <c r="G272" t="inlineStr">
        <is>
          <t>RONNEBY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46282</v>
      </c>
      <c r="F273" t="inlineStr">
        <is>
          <t>BLEKINGE LÄN</t>
        </is>
      </c>
      <c r="G273" t="inlineStr">
        <is>
          <t>RONNEBY</t>
        </is>
      </c>
      <c r="I273" t="n">
        <v>11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46282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46282</v>
      </c>
      <c r="F275" t="inlineStr">
        <is>
          <t>BLEKINGE LÄN</t>
        </is>
      </c>
      <c r="G275" t="inlineStr">
        <is>
          <t>RONNEBY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45280</v>
      </c>
      <c r="E276" s="1" t="n">
        <v>46282</v>
      </c>
      <c r="F276" t="inlineStr">
        <is>
          <t>BLEKINGE LÄN</t>
        </is>
      </c>
      <c r="G276" t="inlineStr">
        <is>
          <t>RONNEBY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46282</v>
      </c>
      <c r="F277" t="inlineStr">
        <is>
          <t>BLEKINGE LÄN</t>
        </is>
      </c>
      <c r="G277" t="inlineStr">
        <is>
          <t>RONNEBY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46282</v>
      </c>
      <c r="F278" t="inlineStr">
        <is>
          <t>BLEKINGE LÄN</t>
        </is>
      </c>
      <c r="G278" t="inlineStr">
        <is>
          <t>RONNEBY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46282</v>
      </c>
      <c r="F279" t="inlineStr">
        <is>
          <t>BLEKINGE LÄN</t>
        </is>
      </c>
      <c r="G279" t="inlineStr">
        <is>
          <t>RONNEBY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11112-2026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46079</v>
      </c>
      <c r="E280" s="1" t="n">
        <v>46282</v>
      </c>
      <c r="F280" t="inlineStr">
        <is>
          <t>BLEKINGE LÄN</t>
        </is>
      </c>
      <c r="G280" t="inlineStr">
        <is>
          <t>RONNEBY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45992</v>
      </c>
      <c r="E281" s="1" t="n">
        <v>46282</v>
      </c>
      <c r="F281" t="inlineStr">
        <is>
          <t>BLEKINGE LÄN</t>
        </is>
      </c>
      <c r="G281" t="inlineStr">
        <is>
          <t>RONNEBY</t>
        </is>
      </c>
      <c r="I281" t="n">
        <v>14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46079</v>
      </c>
      <c r="E282" s="1" t="n">
        <v>46282</v>
      </c>
      <c r="F282" t="inlineStr">
        <is>
          <t>BLEKINGE LÄN</t>
        </is>
      </c>
      <c r="G282" t="inlineStr">
        <is>
          <t>RONNEBY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28975-2023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45104</v>
      </c>
      <c r="E283" s="1" t="n">
        <v>46282</v>
      </c>
      <c r="F283" t="inlineStr">
        <is>
          <t>BLEKINGE LÄN</t>
        </is>
      </c>
      <c r="G283" t="inlineStr">
        <is>
          <t>RONNEBY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45995</v>
      </c>
      <c r="E284" s="1" t="n">
        <v>46282</v>
      </c>
      <c r="F284" t="inlineStr">
        <is>
          <t>BLEKINGE LÄN</t>
        </is>
      </c>
      <c r="G284" t="inlineStr">
        <is>
          <t>RONNEBY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45111</v>
      </c>
      <c r="E285" s="1" t="n">
        <v>46282</v>
      </c>
      <c r="F285" t="inlineStr">
        <is>
          <t>BLEKINGE LÄN</t>
        </is>
      </c>
      <c r="G285" t="inlineStr">
        <is>
          <t>RONNEBY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46282</v>
      </c>
      <c r="F286" t="inlineStr">
        <is>
          <t>BLEKINGE LÄN</t>
        </is>
      </c>
      <c r="G286" t="inlineStr">
        <is>
          <t>RONNEBY</t>
        </is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46282</v>
      </c>
      <c r="F287" t="inlineStr">
        <is>
          <t>BLEKINGE LÄN</t>
        </is>
      </c>
      <c r="G287" t="inlineStr">
        <is>
          <t>RONNEBY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44848</v>
      </c>
      <c r="E288" s="1" t="n">
        <v>46282</v>
      </c>
      <c r="F288" t="inlineStr">
        <is>
          <t>BLEKINGE LÄN</t>
        </is>
      </c>
      <c r="G288" t="inlineStr">
        <is>
          <t>RONNEBY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46086</v>
      </c>
      <c r="E289" s="1" t="n">
        <v>46282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46282</v>
      </c>
      <c r="F290" t="inlineStr">
        <is>
          <t>BLEKINGE LÄN</t>
        </is>
      </c>
      <c r="G290" t="inlineStr">
        <is>
          <t>RONNEBY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62278-2022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44916</v>
      </c>
      <c r="E291" s="1" t="n">
        <v>46282</v>
      </c>
      <c r="F291" t="inlineStr">
        <is>
          <t>BLEKINGE LÄN</t>
        </is>
      </c>
      <c r="G291" t="inlineStr">
        <is>
          <t>RONNEBY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46282</v>
      </c>
      <c r="F292" t="inlineStr">
        <is>
          <t>BLEKINGE LÄN</t>
        </is>
      </c>
      <c r="G292" t="inlineStr">
        <is>
          <t>RONNEBY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45387</v>
      </c>
      <c r="E293" s="1" t="n">
        <v>46282</v>
      </c>
      <c r="F293" t="inlineStr">
        <is>
          <t>BLEKINGE LÄN</t>
        </is>
      </c>
      <c r="G293" t="inlineStr">
        <is>
          <t>RONNEBY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45505</v>
      </c>
      <c r="E294" s="1" t="n">
        <v>46282</v>
      </c>
      <c r="F294" t="inlineStr">
        <is>
          <t>BLEKINGE LÄN</t>
        </is>
      </c>
      <c r="G294" t="inlineStr">
        <is>
          <t>RONNEBY</t>
        </is>
      </c>
      <c r="H294" t="inlineStr">
        <is>
          <t>Kommuner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45266</v>
      </c>
      <c r="E295" s="1" t="n">
        <v>46282</v>
      </c>
      <c r="F295" t="inlineStr">
        <is>
          <t>BLEKINGE LÄN</t>
        </is>
      </c>
      <c r="G295" t="inlineStr">
        <is>
          <t>RONNEBY</t>
        </is>
      </c>
      <c r="H295" t="inlineStr">
        <is>
          <t>Övriga Aktiebolag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46282</v>
      </c>
      <c r="F296" t="inlineStr">
        <is>
          <t>BLEKINGE LÄN</t>
        </is>
      </c>
      <c r="G296" t="inlineStr">
        <is>
          <t>RONNEBY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62465-2025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46007</v>
      </c>
      <c r="E297" s="1" t="n">
        <v>46282</v>
      </c>
      <c r="F297" t="inlineStr">
        <is>
          <t>BLEKINGE LÄN</t>
        </is>
      </c>
      <c r="G297" t="inlineStr">
        <is>
          <t>RONNEBY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54065-2024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45616</v>
      </c>
      <c r="E298" s="1" t="n">
        <v>46282</v>
      </c>
      <c r="F298" t="inlineStr">
        <is>
          <t>BLEKINGE LÄN</t>
        </is>
      </c>
      <c r="G298" t="inlineStr">
        <is>
          <t>RONNEBY</t>
        </is>
      </c>
      <c r="H298" t="inlineStr">
        <is>
          <t>Kommuner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45053</v>
      </c>
      <c r="E299" s="1" t="n">
        <v>46282</v>
      </c>
      <c r="F299" t="inlineStr">
        <is>
          <t>BLEKINGE LÄN</t>
        </is>
      </c>
      <c r="G299" t="inlineStr">
        <is>
          <t>RONNEBY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46282</v>
      </c>
      <c r="F300" t="inlineStr">
        <is>
          <t>BLEKINGE LÄN</t>
        </is>
      </c>
      <c r="G300" t="inlineStr">
        <is>
          <t>RONNEBY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45775</v>
      </c>
      <c r="E301" s="1" t="n">
        <v>46282</v>
      </c>
      <c r="F301" t="inlineStr">
        <is>
          <t>BLEKINGE LÄN</t>
        </is>
      </c>
      <c r="G301" t="inlineStr">
        <is>
          <t>RONNEBY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46282</v>
      </c>
      <c r="F302" t="inlineStr">
        <is>
          <t>BLEKINGE LÄN</t>
        </is>
      </c>
      <c r="G302" t="inlineStr">
        <is>
          <t>RONNEBY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45630</v>
      </c>
      <c r="E303" s="1" t="n">
        <v>46282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46282</v>
      </c>
      <c r="F304" t="inlineStr">
        <is>
          <t>BLEKINGE LÄN</t>
        </is>
      </c>
      <c r="G304" t="inlineStr">
        <is>
          <t>RONNEBY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44944</v>
      </c>
      <c r="E305" s="1" t="n">
        <v>46282</v>
      </c>
      <c r="F305" t="inlineStr">
        <is>
          <t>BLEKINGE LÄN</t>
        </is>
      </c>
      <c r="G305" t="inlineStr">
        <is>
          <t>RONNEBY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46282</v>
      </c>
      <c r="F306" t="inlineStr">
        <is>
          <t>BLEKINGE LÄN</t>
        </is>
      </c>
      <c r="G306" t="inlineStr">
        <is>
          <t>RONNEBY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23888-2022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46282</v>
      </c>
      <c r="F307" t="inlineStr">
        <is>
          <t>BLEKINGE LÄN</t>
        </is>
      </c>
      <c r="G307" t="inlineStr">
        <is>
          <t>RONNEBY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44756</v>
      </c>
      <c r="E308" s="1" t="n">
        <v>46282</v>
      </c>
      <c r="F308" t="inlineStr">
        <is>
          <t>BLEKINGE LÄN</t>
        </is>
      </c>
      <c r="G308" t="inlineStr">
        <is>
          <t>RONNEBY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46282</v>
      </c>
      <c r="F309" t="inlineStr">
        <is>
          <t>BLEKINGE LÄN</t>
        </is>
      </c>
      <c r="G309" t="inlineStr">
        <is>
          <t>RONNEBY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45012</v>
      </c>
      <c r="E310" s="1" t="n">
        <v>46282</v>
      </c>
      <c r="F310" t="inlineStr">
        <is>
          <t>BLEKINGE LÄN</t>
        </is>
      </c>
      <c r="G310" t="inlineStr">
        <is>
          <t>RONNEBY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45462</v>
      </c>
      <c r="E311" s="1" t="n">
        <v>46282</v>
      </c>
      <c r="F311" t="inlineStr">
        <is>
          <t>BLEKINGE LÄN</t>
        </is>
      </c>
      <c r="G311" t="inlineStr">
        <is>
          <t>RONNEBY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46282</v>
      </c>
      <c r="F312" t="inlineStr">
        <is>
          <t>BLEKINGE LÄN</t>
        </is>
      </c>
      <c r="G312" t="inlineStr">
        <is>
          <t>RONNEBY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46282</v>
      </c>
      <c r="F313" t="inlineStr">
        <is>
          <t>BLEKINGE LÄN</t>
        </is>
      </c>
      <c r="G313" t="inlineStr">
        <is>
          <t>RONNEBY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15102-2026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46282</v>
      </c>
      <c r="F314" t="inlineStr">
        <is>
          <t>BLEKINGE LÄN</t>
        </is>
      </c>
      <c r="G314" t="inlineStr">
        <is>
          <t>RONNEBY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46282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45272</v>
      </c>
      <c r="E316" s="1" t="n">
        <v>46282</v>
      </c>
      <c r="F316" t="inlineStr">
        <is>
          <t>BLEKINGE LÄN</t>
        </is>
      </c>
      <c r="G316" t="inlineStr">
        <is>
          <t>RONNEBY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46282</v>
      </c>
      <c r="F317" t="inlineStr">
        <is>
          <t>BLEKINGE LÄN</t>
        </is>
      </c>
      <c r="G317" t="inlineStr">
        <is>
          <t>RONNEBY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46282</v>
      </c>
      <c r="F318" t="inlineStr">
        <is>
          <t>BLEKINGE LÄN</t>
        </is>
      </c>
      <c r="G318" t="inlineStr">
        <is>
          <t>RONNEBY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45432</v>
      </c>
      <c r="E319" s="1" t="n">
        <v>46282</v>
      </c>
      <c r="F319" t="inlineStr">
        <is>
          <t>BLEKINGE LÄN</t>
        </is>
      </c>
      <c r="G319" t="inlineStr">
        <is>
          <t>RONNEBY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46282</v>
      </c>
      <c r="F320" t="inlineStr">
        <is>
          <t>BLEKINGE LÄN</t>
        </is>
      </c>
      <c r="G320" t="inlineStr">
        <is>
          <t>RONNEBY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46104</v>
      </c>
      <c r="E321" s="1" t="n">
        <v>46282</v>
      </c>
      <c r="F321" t="inlineStr">
        <is>
          <t>BLEKINGE LÄN</t>
        </is>
      </c>
      <c r="G321" t="inlineStr">
        <is>
          <t>RONNEBY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46282</v>
      </c>
      <c r="F322" t="inlineStr">
        <is>
          <t>BLEKINGE LÄN</t>
        </is>
      </c>
      <c r="G322" t="inlineStr">
        <is>
          <t>RONNEBY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46282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31418-2024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45505</v>
      </c>
      <c r="E324" s="1" t="n">
        <v>46282</v>
      </c>
      <c r="F324" t="inlineStr">
        <is>
          <t>BLEKINGE LÄN</t>
        </is>
      </c>
      <c r="G324" t="inlineStr">
        <is>
          <t>RONNEBY</t>
        </is>
      </c>
      <c r="H324" t="inlineStr">
        <is>
          <t>Kommuner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46282</v>
      </c>
      <c r="F325" t="inlineStr">
        <is>
          <t>BLEKINGE LÄN</t>
        </is>
      </c>
      <c r="G325" t="inlineStr">
        <is>
          <t>RONNEBY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45090</v>
      </c>
      <c r="E326" s="1" t="n">
        <v>46282</v>
      </c>
      <c r="F326" t="inlineStr">
        <is>
          <t>BLEKINGE LÄN</t>
        </is>
      </c>
      <c r="G326" t="inlineStr">
        <is>
          <t>RONNEBY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45589</v>
      </c>
      <c r="E327" s="1" t="n">
        <v>46282</v>
      </c>
      <c r="F327" t="inlineStr">
        <is>
          <t>BLEKINGE LÄN</t>
        </is>
      </c>
      <c r="G327" t="inlineStr">
        <is>
          <t>RONNEBY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46282</v>
      </c>
      <c r="F328" t="inlineStr">
        <is>
          <t>BLEKINGE LÄN</t>
        </is>
      </c>
      <c r="G328" t="inlineStr">
        <is>
          <t>RONNEBY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46282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46282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46282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46282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46282</v>
      </c>
      <c r="F333" t="inlineStr">
        <is>
          <t>BLEKINGE LÄN</t>
        </is>
      </c>
      <c r="G333" t="inlineStr">
        <is>
          <t>RONNEBY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46126</v>
      </c>
      <c r="E334" s="1" t="n">
        <v>46282</v>
      </c>
      <c r="F334" t="inlineStr">
        <is>
          <t>BLEKINGE LÄN</t>
        </is>
      </c>
      <c r="G334" t="inlineStr">
        <is>
          <t>RONNEBY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46282</v>
      </c>
      <c r="F335" t="inlineStr">
        <is>
          <t>BLEKINGE LÄN</t>
        </is>
      </c>
      <c r="G335" t="inlineStr">
        <is>
          <t>RONNEBY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46282</v>
      </c>
      <c r="F336" t="inlineStr">
        <is>
          <t>BLEKINGE LÄN</t>
        </is>
      </c>
      <c r="G336" t="inlineStr">
        <is>
          <t>RONNEBY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46282</v>
      </c>
      <c r="F337" t="inlineStr">
        <is>
          <t>BLEKINGE LÄN</t>
        </is>
      </c>
      <c r="G337" t="inlineStr">
        <is>
          <t>RONNEBY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45360</v>
      </c>
      <c r="E338" s="1" t="n">
        <v>46282</v>
      </c>
      <c r="F338" t="inlineStr">
        <is>
          <t>BLEKINGE LÄN</t>
        </is>
      </c>
      <c r="G338" t="inlineStr">
        <is>
          <t>RONNEBY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46282</v>
      </c>
      <c r="F339" t="inlineStr">
        <is>
          <t>BLEKINGE LÄN</t>
        </is>
      </c>
      <c r="G339" t="inlineStr">
        <is>
          <t>RONNEBY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46282</v>
      </c>
      <c r="F340" t="inlineStr">
        <is>
          <t>BLEKINGE LÄN</t>
        </is>
      </c>
      <c r="G340" t="inlineStr">
        <is>
          <t>RONNEBY</t>
        </is>
      </c>
      <c r="H340" t="inlineStr">
        <is>
          <t>Övriga Aktiebolag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44586</v>
      </c>
      <c r="E341" s="1" t="n">
        <v>46282</v>
      </c>
      <c r="F341" t="inlineStr">
        <is>
          <t>BLEKINGE LÄN</t>
        </is>
      </c>
      <c r="G341" t="inlineStr">
        <is>
          <t>RONNEBY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52817-2024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46282</v>
      </c>
      <c r="F342" t="inlineStr">
        <is>
          <t>BLEKINGE LÄN</t>
        </is>
      </c>
      <c r="G342" t="inlineStr">
        <is>
          <t>RONNEBY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46282</v>
      </c>
      <c r="F343" t="inlineStr">
        <is>
          <t>BLEKINGE LÄN</t>
        </is>
      </c>
      <c r="G343" t="inlineStr">
        <is>
          <t>RONNEBY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44595</v>
      </c>
      <c r="E344" s="1" t="n">
        <v>46282</v>
      </c>
      <c r="F344" t="inlineStr">
        <is>
          <t>BLEKINGE LÄN</t>
        </is>
      </c>
      <c r="G344" t="inlineStr">
        <is>
          <t>RONNEBY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44754</v>
      </c>
      <c r="E345" s="1" t="n">
        <v>46282</v>
      </c>
      <c r="F345" t="inlineStr">
        <is>
          <t>BLEKINGE LÄN</t>
        </is>
      </c>
      <c r="G345" t="inlineStr">
        <is>
          <t>RONNEBY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44753</v>
      </c>
      <c r="E346" s="1" t="n">
        <v>46282</v>
      </c>
      <c r="F346" t="inlineStr">
        <is>
          <t>BLEKINGE LÄN</t>
        </is>
      </c>
      <c r="G346" t="inlineStr">
        <is>
          <t>RONNEBY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46282</v>
      </c>
      <c r="F347" t="inlineStr">
        <is>
          <t>BLEKINGE LÄN</t>
        </is>
      </c>
      <c r="G347" t="inlineStr">
        <is>
          <t>RONNEBY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46282</v>
      </c>
      <c r="F348" t="inlineStr">
        <is>
          <t>BLEKINGE LÄN</t>
        </is>
      </c>
      <c r="G348" t="inlineStr">
        <is>
          <t>RONNEBY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61529-2024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46282</v>
      </c>
      <c r="F349" t="inlineStr">
        <is>
          <t>BLEKINGE LÄN</t>
        </is>
      </c>
      <c r="G349" t="inlineStr">
        <is>
          <t>RONNEBY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46282</v>
      </c>
      <c r="F350" t="inlineStr">
        <is>
          <t>BLEKINGE LÄN</t>
        </is>
      </c>
      <c r="G350" t="inlineStr">
        <is>
          <t>RONNEBY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45460</v>
      </c>
      <c r="E351" s="1" t="n">
        <v>46282</v>
      </c>
      <c r="F351" t="inlineStr">
        <is>
          <t>BLEKINGE LÄN</t>
        </is>
      </c>
      <c r="G351" t="inlineStr">
        <is>
          <t>RONNEBY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46282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46282</v>
      </c>
      <c r="F353" t="inlineStr">
        <is>
          <t>BLEKINGE LÄN</t>
        </is>
      </c>
      <c r="G353" t="inlineStr">
        <is>
          <t>RONNEBY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45625</v>
      </c>
      <c r="E354" s="1" t="n">
        <v>46282</v>
      </c>
      <c r="F354" t="inlineStr">
        <is>
          <t>BLEKINGE LÄN</t>
        </is>
      </c>
      <c r="G354" t="inlineStr">
        <is>
          <t>RONNEBY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45299</v>
      </c>
      <c r="E355" s="1" t="n">
        <v>46282</v>
      </c>
      <c r="F355" t="inlineStr">
        <is>
          <t>BLEKINGE LÄN</t>
        </is>
      </c>
      <c r="G355" t="inlineStr">
        <is>
          <t>RONNEBY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46282</v>
      </c>
      <c r="F356" t="inlineStr">
        <is>
          <t>BLEKINGE LÄN</t>
        </is>
      </c>
      <c r="G356" t="inlineStr">
        <is>
          <t>RONNEBY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45677</v>
      </c>
      <c r="E357" s="1" t="n">
        <v>46282</v>
      </c>
      <c r="F357" t="inlineStr">
        <is>
          <t>BLEKINGE LÄN</t>
        </is>
      </c>
      <c r="G357" t="inlineStr">
        <is>
          <t>RONNEBY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46282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46282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46282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46282</v>
      </c>
      <c r="F361" t="inlineStr">
        <is>
          <t>BLEKINGE LÄN</t>
        </is>
      </c>
      <c r="G361" t="inlineStr">
        <is>
          <t>RONNEBY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9057-2024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45357</v>
      </c>
      <c r="E362" s="1" t="n">
        <v>46282</v>
      </c>
      <c r="F362" t="inlineStr">
        <is>
          <t>BLEKINGE LÄN</t>
        </is>
      </c>
      <c r="G362" t="inlineStr">
        <is>
          <t>RONNEBY</t>
        </is>
      </c>
      <c r="H362" t="inlineStr">
        <is>
          <t>Kommuner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19948-2023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45054</v>
      </c>
      <c r="E363" s="1" t="n">
        <v>46282</v>
      </c>
      <c r="F363" t="inlineStr">
        <is>
          <t>BLEKINGE LÄN</t>
        </is>
      </c>
      <c r="G363" t="inlineStr">
        <is>
          <t>RONNEBY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45555</v>
      </c>
      <c r="E364" s="1" t="n">
        <v>46282</v>
      </c>
      <c r="F364" t="inlineStr">
        <is>
          <t>BLEKINGE LÄN</t>
        </is>
      </c>
      <c r="G364" t="inlineStr">
        <is>
          <t>RONNEBY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46282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45394</v>
      </c>
      <c r="E366" s="1" t="n">
        <v>46282</v>
      </c>
      <c r="F366" t="inlineStr">
        <is>
          <t>BLEKINGE LÄN</t>
        </is>
      </c>
      <c r="G366" t="inlineStr">
        <is>
          <t>RONNEBY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46282</v>
      </c>
      <c r="F367" t="inlineStr">
        <is>
          <t>BLEKINGE LÄN</t>
        </is>
      </c>
      <c r="G367" t="inlineStr">
        <is>
          <t>RONNEBY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46282</v>
      </c>
      <c r="F368" t="inlineStr">
        <is>
          <t>BLEKINGE LÄN</t>
        </is>
      </c>
      <c r="G368" t="inlineStr">
        <is>
          <t>RONNEBY</t>
        </is>
      </c>
      <c r="I368" t="n">
        <v>12.6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45402</v>
      </c>
      <c r="E369" s="1" t="n">
        <v>46282</v>
      </c>
      <c r="F369" t="inlineStr">
        <is>
          <t>BLEKINGE LÄN</t>
        </is>
      </c>
      <c r="G369" t="inlineStr">
        <is>
          <t>RONNEBY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46282</v>
      </c>
      <c r="F370" t="inlineStr">
        <is>
          <t>BLEKINGE LÄN</t>
        </is>
      </c>
      <c r="G370" t="inlineStr">
        <is>
          <t>RONNEBY</t>
        </is>
      </c>
      <c r="H370" t="inlineStr">
        <is>
          <t>Övriga Aktiebolag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45381</v>
      </c>
      <c r="E371" s="1" t="n">
        <v>46282</v>
      </c>
      <c r="F371" t="inlineStr">
        <is>
          <t>BLEKINGE LÄN</t>
        </is>
      </c>
      <c r="G371" t="inlineStr">
        <is>
          <t>RONNEBY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47160-2025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46282</v>
      </c>
      <c r="F372" t="inlineStr">
        <is>
          <t>BLEKINGE LÄN</t>
        </is>
      </c>
      <c r="G372" t="inlineStr">
        <is>
          <t>RONNEBY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45891</v>
      </c>
      <c r="E373" s="1" t="n">
        <v>46282</v>
      </c>
      <c r="F373" t="inlineStr">
        <is>
          <t>BLEKINGE LÄN</t>
        </is>
      </c>
      <c r="G373" t="inlineStr">
        <is>
          <t>RONNEBY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39844-2025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45891</v>
      </c>
      <c r="E374" s="1" t="n">
        <v>46282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46282</v>
      </c>
      <c r="F375" t="inlineStr">
        <is>
          <t>BLEKINGE LÄN</t>
        </is>
      </c>
      <c r="G375" t="inlineStr">
        <is>
          <t>RONNEBY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46282</v>
      </c>
      <c r="F376" t="inlineStr">
        <is>
          <t>BLEKINGE LÄN</t>
        </is>
      </c>
      <c r="G376" t="inlineStr">
        <is>
          <t>RONNEBY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45354</v>
      </c>
      <c r="E377" s="1" t="n">
        <v>46282</v>
      </c>
      <c r="F377" t="inlineStr">
        <is>
          <t>BLEKINGE LÄN</t>
        </is>
      </c>
      <c r="G377" t="inlineStr">
        <is>
          <t>RONNEBY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45440</v>
      </c>
      <c r="E378" s="1" t="n">
        <v>46282</v>
      </c>
      <c r="F378" t="inlineStr">
        <is>
          <t>BLEKINGE LÄN</t>
        </is>
      </c>
      <c r="G378" t="inlineStr">
        <is>
          <t>RONNEBY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14101-2023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46282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46282</v>
      </c>
      <c r="F380" t="inlineStr">
        <is>
          <t>BLEKINGE LÄN</t>
        </is>
      </c>
      <c r="G380" t="inlineStr">
        <is>
          <t>RONNEBY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46282</v>
      </c>
      <c r="F381" t="inlineStr">
        <is>
          <t>BLEKINGE LÄN</t>
        </is>
      </c>
      <c r="G381" t="inlineStr">
        <is>
          <t>RONNEBY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45702</v>
      </c>
      <c r="E382" s="1" t="n">
        <v>46282</v>
      </c>
      <c r="F382" t="inlineStr">
        <is>
          <t>BLEKINGE LÄN</t>
        </is>
      </c>
      <c r="G382" t="inlineStr">
        <is>
          <t>RONNEBY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46282</v>
      </c>
      <c r="F383" t="inlineStr">
        <is>
          <t>BLEKINGE LÄN</t>
        </is>
      </c>
      <c r="G383" t="inlineStr">
        <is>
          <t>RONNEBY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54248-2025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45964</v>
      </c>
      <c r="E384" s="1" t="n">
        <v>46282</v>
      </c>
      <c r="F384" t="inlineStr">
        <is>
          <t>BLEKINGE LÄN</t>
        </is>
      </c>
      <c r="G384" t="inlineStr">
        <is>
          <t>RONNEBY</t>
        </is>
      </c>
      <c r="H384" t="inlineStr">
        <is>
          <t>Kommuner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46282</v>
      </c>
      <c r="F385" t="inlineStr">
        <is>
          <t>BLEKINGE LÄN</t>
        </is>
      </c>
      <c r="G385" t="inlineStr">
        <is>
          <t>RONNEBY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47823-2024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46282</v>
      </c>
      <c r="F386" t="inlineStr">
        <is>
          <t>BLEKINGE LÄN</t>
        </is>
      </c>
      <c r="G386" t="inlineStr">
        <is>
          <t>RONNEBY</t>
        </is>
      </c>
      <c r="H386" t="inlineStr">
        <is>
          <t>Kommuner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46282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46282</v>
      </c>
      <c r="F388" t="inlineStr">
        <is>
          <t>BLEKINGE LÄN</t>
        </is>
      </c>
      <c r="G388" t="inlineStr">
        <is>
          <t>RONNEBY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63881-2023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45278</v>
      </c>
      <c r="E389" s="1" t="n">
        <v>46282</v>
      </c>
      <c r="F389" t="inlineStr">
        <is>
          <t>BLEKINGE LÄN</t>
        </is>
      </c>
      <c r="G389" t="inlineStr">
        <is>
          <t>RONNEBY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39247-2025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45889</v>
      </c>
      <c r="E390" s="1" t="n">
        <v>46282</v>
      </c>
      <c r="F390" t="inlineStr">
        <is>
          <t>BLEKINGE LÄN</t>
        </is>
      </c>
      <c r="G390" t="inlineStr">
        <is>
          <t>RONNEBY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46282</v>
      </c>
      <c r="F391" t="inlineStr">
        <is>
          <t>BLEKINGE LÄN</t>
        </is>
      </c>
      <c r="G391" t="inlineStr">
        <is>
          <t>RONNEBY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45602</v>
      </c>
      <c r="E392" s="1" t="n">
        <v>46282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46282</v>
      </c>
      <c r="F393" t="inlineStr">
        <is>
          <t>BLEKINGE LÄN</t>
        </is>
      </c>
      <c r="G393" t="inlineStr">
        <is>
          <t>RONNEBY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44987</v>
      </c>
      <c r="E394" s="1" t="n">
        <v>46282</v>
      </c>
      <c r="F394" t="inlineStr">
        <is>
          <t>BLEKINGE LÄN</t>
        </is>
      </c>
      <c r="G394" t="inlineStr">
        <is>
          <t>RONNEBY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46282</v>
      </c>
      <c r="F395" t="inlineStr">
        <is>
          <t>BLEKINGE LÄN</t>
        </is>
      </c>
      <c r="G395" t="inlineStr">
        <is>
          <t>RONNEBY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45480</v>
      </c>
      <c r="E396" s="1" t="n">
        <v>46282</v>
      </c>
      <c r="F396" t="inlineStr">
        <is>
          <t>BLEKINGE LÄN</t>
        </is>
      </c>
      <c r="G396" t="inlineStr">
        <is>
          <t>RONNEBY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45302</v>
      </c>
      <c r="E397" s="1" t="n">
        <v>46282</v>
      </c>
      <c r="F397" t="inlineStr">
        <is>
          <t>BLEKINGE LÄN</t>
        </is>
      </c>
      <c r="G397" t="inlineStr">
        <is>
          <t>RONNEBY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46282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46282</v>
      </c>
      <c r="F399" t="inlineStr">
        <is>
          <t>BLEKINGE LÄN</t>
        </is>
      </c>
      <c r="G399" t="inlineStr">
        <is>
          <t>RONNEBY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46282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25077-2022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44729</v>
      </c>
      <c r="E401" s="1" t="n">
        <v>46282</v>
      </c>
      <c r="F401" t="inlineStr">
        <is>
          <t>BLEKINGE LÄN</t>
        </is>
      </c>
      <c r="G401" t="inlineStr">
        <is>
          <t>RONNEBY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20549-2026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46282</v>
      </c>
      <c r="F402" t="inlineStr">
        <is>
          <t>BLEKINGE LÄN</t>
        </is>
      </c>
      <c r="G402" t="inlineStr">
        <is>
          <t>RONNEBY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20544-2026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46282</v>
      </c>
      <c r="F403" t="inlineStr">
        <is>
          <t>BLEKINGE LÄN</t>
        </is>
      </c>
      <c r="G403" t="inlineStr">
        <is>
          <t>RONNEBY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45706</v>
      </c>
      <c r="E404" s="1" t="n">
        <v>46282</v>
      </c>
      <c r="F404" t="inlineStr">
        <is>
          <t>BLEKINGE LÄN</t>
        </is>
      </c>
      <c r="G404" t="inlineStr">
        <is>
          <t>RONNEBY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45619</v>
      </c>
      <c r="E405" s="1" t="n">
        <v>46282</v>
      </c>
      <c r="F405" t="inlineStr">
        <is>
          <t>BLEKINGE LÄN</t>
        </is>
      </c>
      <c r="G405" t="inlineStr">
        <is>
          <t>RONNEBY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46282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45337</v>
      </c>
      <c r="E407" s="1" t="n">
        <v>46282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61740-2022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46282</v>
      </c>
      <c r="F408" t="inlineStr">
        <is>
          <t>BLEKINGE LÄN</t>
        </is>
      </c>
      <c r="G408" t="inlineStr">
        <is>
          <t>RONNEBY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21272-2026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46147</v>
      </c>
      <c r="E409" s="1" t="n">
        <v>46282</v>
      </c>
      <c r="F409" t="inlineStr">
        <is>
          <t>BLEKINGE LÄN</t>
        </is>
      </c>
      <c r="G409" t="inlineStr">
        <is>
          <t>RONNEBY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21709-2026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46149</v>
      </c>
      <c r="E410" s="1" t="n">
        <v>46282</v>
      </c>
      <c r="F410" t="inlineStr">
        <is>
          <t>BLEKINGE LÄN</t>
        </is>
      </c>
      <c r="G410" t="inlineStr">
        <is>
          <t>RONNEBY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46149</v>
      </c>
      <c r="E411" s="1" t="n">
        <v>46282</v>
      </c>
      <c r="F411" t="inlineStr">
        <is>
          <t>BLEKINGE LÄN</t>
        </is>
      </c>
      <c r="G411" t="inlineStr">
        <is>
          <t>RONNEBY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44778</v>
      </c>
      <c r="E412" s="1" t="n">
        <v>46282</v>
      </c>
      <c r="F412" t="inlineStr">
        <is>
          <t>BLEKINGE LÄN</t>
        </is>
      </c>
      <c r="G412" t="inlineStr">
        <is>
          <t>RONNEBY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59840-2021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46282</v>
      </c>
      <c r="F413" t="inlineStr">
        <is>
          <t>BLEKINGE LÄN</t>
        </is>
      </c>
      <c r="G413" t="inlineStr">
        <is>
          <t>RONNEBY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46282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9.199999999999999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46282</v>
      </c>
      <c r="F415" t="inlineStr">
        <is>
          <t>BLEKINGE LÄN</t>
        </is>
      </c>
      <c r="G415" t="inlineStr">
        <is>
          <t>RONNEBY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44489</v>
      </c>
      <c r="E416" s="1" t="n">
        <v>46282</v>
      </c>
      <c r="F416" t="inlineStr">
        <is>
          <t>BLEKINGE LÄN</t>
        </is>
      </c>
      <c r="G416" t="inlineStr">
        <is>
          <t>RONNEBY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46282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44739</v>
      </c>
      <c r="E418" s="1" t="n">
        <v>46282</v>
      </c>
      <c r="F418" t="inlineStr">
        <is>
          <t>BLEKINGE LÄN</t>
        </is>
      </c>
      <c r="G418" t="inlineStr">
        <is>
          <t>RONNEBY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29430-2022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44753</v>
      </c>
      <c r="E419" s="1" t="n">
        <v>46282</v>
      </c>
      <c r="F419" t="inlineStr">
        <is>
          <t>BLEKINGE LÄN</t>
        </is>
      </c>
      <c r="G419" t="inlineStr">
        <is>
          <t>RONNEBY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44862</v>
      </c>
      <c r="E420" s="1" t="n">
        <v>46282</v>
      </c>
      <c r="F420" t="inlineStr">
        <is>
          <t>BLEKINGE LÄN</t>
        </is>
      </c>
      <c r="G420" t="inlineStr">
        <is>
          <t>RONNEBY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46282</v>
      </c>
      <c r="F421" t="inlineStr">
        <is>
          <t>BLEKINGE LÄN</t>
        </is>
      </c>
      <c r="G421" t="inlineStr">
        <is>
          <t>RONNEBY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45086</v>
      </c>
      <c r="E422" s="1" t="n">
        <v>46282</v>
      </c>
      <c r="F422" t="inlineStr">
        <is>
          <t>BLEKINGE LÄN</t>
        </is>
      </c>
      <c r="G422" t="inlineStr">
        <is>
          <t>RONNEBY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45310</v>
      </c>
      <c r="E423" s="1" t="n">
        <v>46282</v>
      </c>
      <c r="F423" t="inlineStr">
        <is>
          <t>BLEKINGE LÄN</t>
        </is>
      </c>
      <c r="G423" t="inlineStr">
        <is>
          <t>RONNEBY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17904-2023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46282</v>
      </c>
      <c r="F424" t="inlineStr">
        <is>
          <t>BLEKINGE LÄN</t>
        </is>
      </c>
      <c r="G424" t="inlineStr">
        <is>
          <t>RONNEBY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46282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41875-2022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44829</v>
      </c>
      <c r="E426" s="1" t="n">
        <v>46282</v>
      </c>
      <c r="F426" t="inlineStr">
        <is>
          <t>BLEKINGE LÄN</t>
        </is>
      </c>
      <c r="G426" t="inlineStr">
        <is>
          <t>RONNEBY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33535-2025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45841</v>
      </c>
      <c r="E427" s="1" t="n">
        <v>46282</v>
      </c>
      <c r="F427" t="inlineStr">
        <is>
          <t>BLEKINGE LÄN</t>
        </is>
      </c>
      <c r="G427" t="inlineStr">
        <is>
          <t>RONNEBY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46282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46282</v>
      </c>
      <c r="F429" t="inlineStr">
        <is>
          <t>BLEKINGE LÄN</t>
        </is>
      </c>
      <c r="G429" t="inlineStr">
        <is>
          <t>RONNEBY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61346-2024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46282</v>
      </c>
      <c r="F430" t="inlineStr">
        <is>
          <t>BLEKINGE LÄN</t>
        </is>
      </c>
      <c r="G430" t="inlineStr">
        <is>
          <t>RONNEBY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54532-2022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44882</v>
      </c>
      <c r="E431" s="1" t="n">
        <v>46282</v>
      </c>
      <c r="F431" t="inlineStr">
        <is>
          <t>BLEKINGE LÄN</t>
        </is>
      </c>
      <c r="G431" t="inlineStr">
        <is>
          <t>RONNEBY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36202-2024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45534</v>
      </c>
      <c r="E432" s="1" t="n">
        <v>46282</v>
      </c>
      <c r="F432" t="inlineStr">
        <is>
          <t>BLEKINGE LÄN</t>
        </is>
      </c>
      <c r="G432" t="inlineStr">
        <is>
          <t>RONNEBY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46282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46282</v>
      </c>
      <c r="F434" t="inlineStr">
        <is>
          <t>BLEKINGE LÄN</t>
        </is>
      </c>
      <c r="G434" t="inlineStr">
        <is>
          <t>RONNEBY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45610</v>
      </c>
      <c r="E435" s="1" t="n">
        <v>46282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46282</v>
      </c>
      <c r="F436" t="inlineStr">
        <is>
          <t>BLEKINGE LÄN</t>
        </is>
      </c>
      <c r="G436" t="inlineStr">
        <is>
          <t>RONNEBY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54536-2022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44882</v>
      </c>
      <c r="E437" s="1" t="n">
        <v>46282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46282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46282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14099-2023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45009</v>
      </c>
      <c r="E440" s="1" t="n">
        <v>46282</v>
      </c>
      <c r="F440" t="inlineStr">
        <is>
          <t>BLEKINGE LÄN</t>
        </is>
      </c>
      <c r="G440" t="inlineStr">
        <is>
          <t>RONNEBY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46282</v>
      </c>
      <c r="F441" t="inlineStr">
        <is>
          <t>BLEKINGE LÄN</t>
        </is>
      </c>
      <c r="G441" t="inlineStr">
        <is>
          <t>RONNEBY</t>
        </is>
      </c>
      <c r="H441" t="inlineStr">
        <is>
          <t>Kommuner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46164</v>
      </c>
      <c r="E442" s="1" t="n">
        <v>46282</v>
      </c>
      <c r="F442" t="inlineStr">
        <is>
          <t>BLEKINGE LÄN</t>
        </is>
      </c>
      <c r="G442" t="inlineStr">
        <is>
          <t>RONNEBY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46282</v>
      </c>
      <c r="F443" t="inlineStr">
        <is>
          <t>BLEKINGE LÄN</t>
        </is>
      </c>
      <c r="G443" t="inlineStr">
        <is>
          <t>RONNEBY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46282</v>
      </c>
      <c r="F444" t="inlineStr">
        <is>
          <t>BLEKINGE LÄN</t>
        </is>
      </c>
      <c r="G444" t="inlineStr">
        <is>
          <t>RONNEBY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45342</v>
      </c>
      <c r="E445" s="1" t="n">
        <v>46282</v>
      </c>
      <c r="F445" t="inlineStr">
        <is>
          <t>BLEKINGE LÄN</t>
        </is>
      </c>
      <c r="G445" t="inlineStr">
        <is>
          <t>RONNEBY</t>
        </is>
      </c>
      <c r="I445" t="n">
        <v>15.2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46282</v>
      </c>
      <c r="F446" t="inlineStr">
        <is>
          <t>BLEKINGE LÄN</t>
        </is>
      </c>
      <c r="G446" t="inlineStr">
        <is>
          <t>RONNEBY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46282</v>
      </c>
      <c r="F447" t="inlineStr">
        <is>
          <t>BLEKINGE LÄN</t>
        </is>
      </c>
      <c r="G447" t="inlineStr">
        <is>
          <t>RONNEBY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22507-2022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44713</v>
      </c>
      <c r="E448" s="1" t="n">
        <v>46282</v>
      </c>
      <c r="F448" t="inlineStr">
        <is>
          <t>BLEKINGE LÄN</t>
        </is>
      </c>
      <c r="G448" t="inlineStr">
        <is>
          <t>RONNEBY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46282</v>
      </c>
      <c r="F449" t="inlineStr">
        <is>
          <t>BLEKINGE LÄN</t>
        </is>
      </c>
      <c r="G449" t="inlineStr">
        <is>
          <t>RONNEBY</t>
        </is>
      </c>
      <c r="H449" t="inlineStr">
        <is>
          <t>Övriga Aktiebolag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45426</v>
      </c>
      <c r="E450" s="1" t="n">
        <v>46282</v>
      </c>
      <c r="F450" t="inlineStr">
        <is>
          <t>BLEKINGE LÄN</t>
        </is>
      </c>
      <c r="G450" t="inlineStr">
        <is>
          <t>RONNEBY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47781-2024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46282</v>
      </c>
      <c r="F451" t="inlineStr">
        <is>
          <t>BLEKINGE LÄN</t>
        </is>
      </c>
      <c r="G451" t="inlineStr">
        <is>
          <t>RONNEBY</t>
        </is>
      </c>
      <c r="H451" t="inlineStr">
        <is>
          <t>Kommuner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45409-2023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46282</v>
      </c>
      <c r="F452" t="inlineStr">
        <is>
          <t>BLEKINGE LÄN</t>
        </is>
      </c>
      <c r="G452" t="inlineStr">
        <is>
          <t>RONNEBY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39032-2022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44817</v>
      </c>
      <c r="E453" s="1" t="n">
        <v>46282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46282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46282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45328</v>
      </c>
      <c r="E456" s="1" t="n">
        <v>46282</v>
      </c>
      <c r="F456" t="inlineStr">
        <is>
          <t>BLEKINGE LÄN</t>
        </is>
      </c>
      <c r="G456" t="inlineStr">
        <is>
          <t>RONNEBY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45360</v>
      </c>
      <c r="E457" s="1" t="n">
        <v>46282</v>
      </c>
      <c r="F457" t="inlineStr">
        <is>
          <t>BLEKINGE LÄN</t>
        </is>
      </c>
      <c r="G457" t="inlineStr">
        <is>
          <t>RONNEBY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45360</v>
      </c>
      <c r="E458" s="1" t="n">
        <v>46282</v>
      </c>
      <c r="F458" t="inlineStr">
        <is>
          <t>BLEKINGE LÄN</t>
        </is>
      </c>
      <c r="G458" t="inlineStr">
        <is>
          <t>RONNEBY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45104</v>
      </c>
      <c r="E459" s="1" t="n">
        <v>46282</v>
      </c>
      <c r="F459" t="inlineStr">
        <is>
          <t>BLEKINGE LÄN</t>
        </is>
      </c>
      <c r="G459" t="inlineStr">
        <is>
          <t>RONNEBY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45775</v>
      </c>
      <c r="E460" s="1" t="n">
        <v>46282</v>
      </c>
      <c r="F460" t="inlineStr">
        <is>
          <t>BLEKINGE LÄN</t>
        </is>
      </c>
      <c r="G460" t="inlineStr">
        <is>
          <t>RONNEBY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45105</v>
      </c>
      <c r="E461" s="1" t="n">
        <v>46282</v>
      </c>
      <c r="F461" t="inlineStr">
        <is>
          <t>BLEKINGE LÄN</t>
        </is>
      </c>
      <c r="G461" t="inlineStr">
        <is>
          <t>RONNEBY</t>
        </is>
      </c>
      <c r="H461" t="inlineStr">
        <is>
          <t>Kommuner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46282</v>
      </c>
      <c r="F462" t="inlineStr">
        <is>
          <t>BLEKINGE LÄN</t>
        </is>
      </c>
      <c r="G462" t="inlineStr">
        <is>
          <t>RONNEBY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46282</v>
      </c>
      <c r="F463" t="inlineStr">
        <is>
          <t>BLEKINGE LÄN</t>
        </is>
      </c>
      <c r="G463" t="inlineStr">
        <is>
          <t>RONNEBY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44606</v>
      </c>
      <c r="E464" s="1" t="n">
        <v>46282</v>
      </c>
      <c r="F464" t="inlineStr">
        <is>
          <t>BLEKINGE LÄN</t>
        </is>
      </c>
      <c r="G464" t="inlineStr">
        <is>
          <t>RONNEBY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46282</v>
      </c>
      <c r="F465" t="inlineStr">
        <is>
          <t>BLEKINGE LÄN</t>
        </is>
      </c>
      <c r="G465" t="inlineStr">
        <is>
          <t>RONNEBY</t>
        </is>
      </c>
      <c r="H465" t="inlineStr">
        <is>
          <t>Övriga Aktiebolag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42169-2023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45178</v>
      </c>
      <c r="E466" s="1" t="n">
        <v>46282</v>
      </c>
      <c r="F466" t="inlineStr">
        <is>
          <t>BLEKINGE LÄN</t>
        </is>
      </c>
      <c r="G466" t="inlineStr">
        <is>
          <t>RONNEBY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25956-2026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46282</v>
      </c>
      <c r="F467" t="inlineStr">
        <is>
          <t>BLEKINGE LÄN</t>
        </is>
      </c>
      <c r="G467" t="inlineStr">
        <is>
          <t>RONNEBY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21989-2023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45068</v>
      </c>
      <c r="E468" s="1" t="n">
        <v>46282</v>
      </c>
      <c r="F468" t="inlineStr">
        <is>
          <t>BLEKINGE LÄN</t>
        </is>
      </c>
      <c r="G468" t="inlineStr">
        <is>
          <t>RONNEBY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36413-2024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45536</v>
      </c>
      <c r="E469" s="1" t="n">
        <v>46282</v>
      </c>
      <c r="F469" t="inlineStr">
        <is>
          <t>BLEKINGE LÄN</t>
        </is>
      </c>
      <c r="G469" t="inlineStr">
        <is>
          <t>RONNEBY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25948-2026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46282</v>
      </c>
      <c r="F470" t="inlineStr">
        <is>
          <t>BLEKINGE LÄN</t>
        </is>
      </c>
      <c r="G470" t="inlineStr">
        <is>
          <t>RONNEBY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46282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46282</v>
      </c>
      <c r="F472" t="inlineStr">
        <is>
          <t>BLEKINGE LÄN</t>
        </is>
      </c>
      <c r="G472" t="inlineStr">
        <is>
          <t>RONNEBY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46282</v>
      </c>
      <c r="F473" t="inlineStr">
        <is>
          <t>BLEKINGE LÄN</t>
        </is>
      </c>
      <c r="G473" t="inlineStr">
        <is>
          <t>RONNEBY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46282</v>
      </c>
      <c r="F474" t="inlineStr">
        <is>
          <t>BLEKINGE LÄN</t>
        </is>
      </c>
      <c r="G474" t="inlineStr">
        <is>
          <t>RONNEBY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26706-2026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46282</v>
      </c>
      <c r="F475" t="inlineStr">
        <is>
          <t>BLEKINGE LÄN</t>
        </is>
      </c>
      <c r="G475" t="inlineStr">
        <is>
          <t>RONNEBY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46168-2023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45196</v>
      </c>
      <c r="E476" s="1" t="n">
        <v>46282</v>
      </c>
      <c r="F476" t="inlineStr">
        <is>
          <t>BLEKINGE LÄN</t>
        </is>
      </c>
      <c r="G476" t="inlineStr">
        <is>
          <t>RONNEBY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46282</v>
      </c>
      <c r="F477" t="inlineStr">
        <is>
          <t>BLEKINGE LÄN</t>
        </is>
      </c>
      <c r="G477" t="inlineStr">
        <is>
          <t>RONNEBY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24502-2023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46282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45367-2023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45193</v>
      </c>
      <c r="E479" s="1" t="n">
        <v>46282</v>
      </c>
      <c r="F479" t="inlineStr">
        <is>
          <t>BLEKINGE LÄN</t>
        </is>
      </c>
      <c r="G479" t="inlineStr">
        <is>
          <t>RONNEBY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45264</v>
      </c>
      <c r="E480" s="1" t="n">
        <v>46282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45085</v>
      </c>
      <c r="E481" s="1" t="n">
        <v>46282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45091</v>
      </c>
      <c r="E482" s="1" t="n">
        <v>46282</v>
      </c>
      <c r="F482" t="inlineStr">
        <is>
          <t>BLEKINGE LÄN</t>
        </is>
      </c>
      <c r="G482" t="inlineStr">
        <is>
          <t>RONNEBY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46195</v>
      </c>
      <c r="E483" s="1" t="n">
        <v>46282</v>
      </c>
      <c r="F483" t="inlineStr">
        <is>
          <t>BLEKINGE LÄN</t>
        </is>
      </c>
      <c r="G483" t="inlineStr">
        <is>
          <t>RONNEBY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32537-2023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45110</v>
      </c>
      <c r="E484" s="1" t="n">
        <v>46282</v>
      </c>
      <c r="F484" t="inlineStr">
        <is>
          <t>BLEKINGE LÄN</t>
        </is>
      </c>
      <c r="G484" t="inlineStr">
        <is>
          <t>RONNEBY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45152</v>
      </c>
      <c r="E485" s="1" t="n">
        <v>46282</v>
      </c>
      <c r="F485" t="inlineStr">
        <is>
          <t>BLEKINGE LÄN</t>
        </is>
      </c>
      <c r="G485" t="inlineStr">
        <is>
          <t>RONNEBY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45139</v>
      </c>
      <c r="E486" s="1" t="n">
        <v>46282</v>
      </c>
      <c r="F486" t="inlineStr">
        <is>
          <t>BLEKINGE LÄN</t>
        </is>
      </c>
      <c r="G486" t="inlineStr">
        <is>
          <t>RONNEBY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45169</v>
      </c>
      <c r="E487" s="1" t="n">
        <v>46282</v>
      </c>
      <c r="F487" t="inlineStr">
        <is>
          <t>BLEKINGE LÄN</t>
        </is>
      </c>
      <c r="G487" t="inlineStr">
        <is>
          <t>RONNEBY</t>
        </is>
      </c>
      <c r="I487" t="n">
        <v>9.9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29648-2026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46282</v>
      </c>
      <c r="F488" t="inlineStr">
        <is>
          <t>BLEKINGE LÄN</t>
        </is>
      </c>
      <c r="G488" t="inlineStr">
        <is>
          <t>RONNEBY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45317-2025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45921</v>
      </c>
      <c r="E489" s="1" t="n">
        <v>46282</v>
      </c>
      <c r="F489" t="inlineStr">
        <is>
          <t>BLEKINGE LÄN</t>
        </is>
      </c>
      <c r="G489" t="inlineStr">
        <is>
          <t>RONNEBY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28732-2026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46198</v>
      </c>
      <c r="E490" s="1" t="n">
        <v>46282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45118</v>
      </c>
      <c r="E491" s="1" t="n">
        <v>46282</v>
      </c>
      <c r="F491" t="inlineStr">
        <is>
          <t>BLEKINGE LÄN</t>
        </is>
      </c>
      <c r="G491" t="inlineStr">
        <is>
          <t>RONNEBY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45178</v>
      </c>
      <c r="E492" s="1" t="n">
        <v>46282</v>
      </c>
      <c r="F492" t="inlineStr">
        <is>
          <t>BLEKINGE LÄN</t>
        </is>
      </c>
      <c r="G492" t="inlineStr">
        <is>
          <t>RONNEBY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46282</v>
      </c>
      <c r="F493" t="inlineStr">
        <is>
          <t>BLEKINGE LÄN</t>
        </is>
      </c>
      <c r="G493" t="inlineStr">
        <is>
          <t>RONNEBY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46282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46282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46282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45195</v>
      </c>
      <c r="E497" s="1" t="n">
        <v>46282</v>
      </c>
      <c r="F497" t="inlineStr">
        <is>
          <t>BLEKINGE LÄN</t>
        </is>
      </c>
      <c r="G497" t="inlineStr">
        <is>
          <t>RONNEBY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16077-2023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45027</v>
      </c>
      <c r="E498" s="1" t="n">
        <v>46282</v>
      </c>
      <c r="F498" t="inlineStr">
        <is>
          <t>BLEKINGE LÄN</t>
        </is>
      </c>
      <c r="G498" t="inlineStr">
        <is>
          <t>RONNEBY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46282</v>
      </c>
      <c r="F499" t="inlineStr">
        <is>
          <t>BLEKINGE LÄN</t>
        </is>
      </c>
      <c r="G499" t="inlineStr">
        <is>
          <t>RONNEBY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46282</v>
      </c>
      <c r="F500" t="inlineStr">
        <is>
          <t>BLEKINGE LÄN</t>
        </is>
      </c>
      <c r="G500" t="inlineStr">
        <is>
          <t>RONNEBY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45378</v>
      </c>
      <c r="E501" s="1" t="n">
        <v>46282</v>
      </c>
      <c r="F501" t="inlineStr">
        <is>
          <t>BLEKINGE LÄN</t>
        </is>
      </c>
      <c r="G501" t="inlineStr">
        <is>
          <t>RONNEBY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45436</v>
      </c>
      <c r="E502" s="1" t="n">
        <v>46282</v>
      </c>
      <c r="F502" t="inlineStr">
        <is>
          <t>BLEKINGE LÄN</t>
        </is>
      </c>
      <c r="G502" t="inlineStr">
        <is>
          <t>RONNEBY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46282</v>
      </c>
      <c r="F503" t="inlineStr">
        <is>
          <t>BLEKINGE LÄN</t>
        </is>
      </c>
      <c r="G503" t="inlineStr">
        <is>
          <t>RONNEBY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45350</v>
      </c>
      <c r="E504" s="1" t="n">
        <v>46282</v>
      </c>
      <c r="F504" t="inlineStr">
        <is>
          <t>BLEKINGE LÄN</t>
        </is>
      </c>
      <c r="G504" t="inlineStr">
        <is>
          <t>RONNEBY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45303</v>
      </c>
      <c r="E505" s="1" t="n">
        <v>46282</v>
      </c>
      <c r="F505" t="inlineStr">
        <is>
          <t>BLEKINGE LÄN</t>
        </is>
      </c>
      <c r="G505" t="inlineStr">
        <is>
          <t>RONNEBY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45303</v>
      </c>
      <c r="E506" s="1" t="n">
        <v>46282</v>
      </c>
      <c r="F506" t="inlineStr">
        <is>
          <t>BLEKINGE LÄN</t>
        </is>
      </c>
      <c r="G506" t="inlineStr">
        <is>
          <t>RONNEBY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46247</v>
      </c>
      <c r="E507" s="1" t="n">
        <v>46282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46282</v>
      </c>
      <c r="F508" t="inlineStr">
        <is>
          <t>BLEKINGE LÄN</t>
        </is>
      </c>
      <c r="G508" t="inlineStr">
        <is>
          <t>RONNEBY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36946-2022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44806</v>
      </c>
      <c r="E509" s="1" t="n">
        <v>46282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46282</v>
      </c>
      <c r="F510" t="inlineStr">
        <is>
          <t>BLEKINGE LÄN</t>
        </is>
      </c>
      <c r="G510" t="inlineStr">
        <is>
          <t>RONNEBY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46282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57426-2023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45246</v>
      </c>
      <c r="E512" s="1" t="n">
        <v>46282</v>
      </c>
      <c r="F512" t="inlineStr">
        <is>
          <t>BLEKINGE LÄN</t>
        </is>
      </c>
      <c r="G512" t="inlineStr">
        <is>
          <t>RONNEBY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46248</v>
      </c>
      <c r="E513" s="1" t="n">
        <v>46282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30545-2026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46210</v>
      </c>
      <c r="E514" s="1" t="n">
        <v>46282</v>
      </c>
      <c r="F514" t="inlineStr">
        <is>
          <t>BLEKINGE LÄN</t>
        </is>
      </c>
      <c r="G514" t="inlineStr">
        <is>
          <t>RONNEBY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46252</v>
      </c>
      <c r="E515" s="1" t="n">
        <v>46282</v>
      </c>
      <c r="F515" t="inlineStr">
        <is>
          <t>BLEKINGE LÄN</t>
        </is>
      </c>
      <c r="G515" t="inlineStr">
        <is>
          <t>RONNEBY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44565</v>
      </c>
      <c r="E516" s="1" t="n">
        <v>46282</v>
      </c>
      <c r="F516" t="inlineStr">
        <is>
          <t>BLEKINGE LÄN</t>
        </is>
      </c>
      <c r="G516" t="inlineStr">
        <is>
          <t>RONNEBY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30407-2026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46209</v>
      </c>
      <c r="E517" s="1" t="n">
        <v>46282</v>
      </c>
      <c r="F517" t="inlineStr">
        <is>
          <t>BLEKINGE LÄN</t>
        </is>
      </c>
      <c r="G517" t="inlineStr">
        <is>
          <t>RONNEBY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30564-2026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46210</v>
      </c>
      <c r="E518" s="1" t="n">
        <v>46282</v>
      </c>
      <c r="F518" t="inlineStr">
        <is>
          <t>BLEKINGE LÄN</t>
        </is>
      </c>
      <c r="G518" t="inlineStr">
        <is>
          <t>RONNEBY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46282</v>
      </c>
      <c r="F519" t="inlineStr">
        <is>
          <t>BLEKINGE LÄN</t>
        </is>
      </c>
      <c r="G519" t="inlineStr">
        <is>
          <t>RONNEBY</t>
        </is>
      </c>
      <c r="H519" t="inlineStr">
        <is>
          <t>Övriga Aktiebolag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55079-2023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45237</v>
      </c>
      <c r="E520" s="1" t="n">
        <v>46282</v>
      </c>
      <c r="F520" t="inlineStr">
        <is>
          <t>BLEKINGE LÄN</t>
        </is>
      </c>
      <c r="G520" t="inlineStr">
        <is>
          <t>RONNEBY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30408-2026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46209</v>
      </c>
      <c r="E521" s="1" t="n">
        <v>46282</v>
      </c>
      <c r="F521" t="inlineStr">
        <is>
          <t>BLEKINGE LÄN</t>
        </is>
      </c>
      <c r="G521" t="inlineStr">
        <is>
          <t>RONNEBY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31415-2022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44774</v>
      </c>
      <c r="E522" s="1" t="n">
        <v>46282</v>
      </c>
      <c r="F522" t="inlineStr">
        <is>
          <t>BLEKINGE LÄN</t>
        </is>
      </c>
      <c r="G522" t="inlineStr">
        <is>
          <t>RONNEBY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46282</v>
      </c>
      <c r="F523" t="inlineStr">
        <is>
          <t>BLEKINGE LÄN</t>
        </is>
      </c>
      <c r="G523" t="inlineStr">
        <is>
          <t>RONNEBY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46282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31342-2026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46212</v>
      </c>
      <c r="E525" s="1" t="n">
        <v>46282</v>
      </c>
      <c r="F525" t="inlineStr">
        <is>
          <t>BLEKINGE LÄN</t>
        </is>
      </c>
      <c r="G525" t="inlineStr">
        <is>
          <t>RONNEBY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46212</v>
      </c>
      <c r="E526" s="1" t="n">
        <v>46282</v>
      </c>
      <c r="F526" t="inlineStr">
        <is>
          <t>BLEKINGE LÄN</t>
        </is>
      </c>
      <c r="G526" t="inlineStr">
        <is>
          <t>RONNEBY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1432-2024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45303</v>
      </c>
      <c r="E527" s="1" t="n">
        <v>46282</v>
      </c>
      <c r="F527" t="inlineStr">
        <is>
          <t>BLEKINGE LÄN</t>
        </is>
      </c>
      <c r="G527" t="inlineStr">
        <is>
          <t>RONNEBY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46282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19594-2024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45430</v>
      </c>
      <c r="E529" s="1" t="n">
        <v>46282</v>
      </c>
      <c r="F529" t="inlineStr">
        <is>
          <t>BLEKINGE LÄN</t>
        </is>
      </c>
      <c r="G529" t="inlineStr">
        <is>
          <t>RONNEBY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44956</v>
      </c>
      <c r="E530" s="1" t="n">
        <v>46282</v>
      </c>
      <c r="F530" t="inlineStr">
        <is>
          <t>BLEKINGE LÄN</t>
        </is>
      </c>
      <c r="G530" t="inlineStr">
        <is>
          <t>RONNEBY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45342</v>
      </c>
      <c r="E531" s="1" t="n">
        <v>46282</v>
      </c>
      <c r="F531" t="inlineStr">
        <is>
          <t>BLEKINGE LÄN</t>
        </is>
      </c>
      <c r="G531" t="inlineStr">
        <is>
          <t>RONNEBY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6869-2024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46282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45428</v>
      </c>
      <c r="E533" s="1" t="n">
        <v>46282</v>
      </c>
      <c r="F533" t="inlineStr">
        <is>
          <t>BLEKINGE LÄN</t>
        </is>
      </c>
      <c r="G533" t="inlineStr">
        <is>
          <t>RONNEBY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45373</v>
      </c>
      <c r="E534" s="1" t="n">
        <v>46282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45724</v>
      </c>
      <c r="E535" s="1" t="n">
        <v>46282</v>
      </c>
      <c r="F535" t="inlineStr">
        <is>
          <t>BLEKINGE LÄN</t>
        </is>
      </c>
      <c r="G535" t="inlineStr">
        <is>
          <t>RONNEBY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46216</v>
      </c>
      <c r="E536" s="1" t="n">
        <v>46282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14234-2022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44651</v>
      </c>
      <c r="E537" s="1" t="n">
        <v>46282</v>
      </c>
      <c r="F537" t="inlineStr">
        <is>
          <t>BLEKINGE LÄN</t>
        </is>
      </c>
      <c r="G537" t="inlineStr">
        <is>
          <t>RONNEBY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46282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16684-2024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45408</v>
      </c>
      <c r="E539" s="1" t="n">
        <v>46282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46282</v>
      </c>
      <c r="F540" t="inlineStr">
        <is>
          <t>BLEKINGE LÄN</t>
        </is>
      </c>
      <c r="G540" t="inlineStr">
        <is>
          <t>RONNEBY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46282</v>
      </c>
      <c r="F541" t="inlineStr">
        <is>
          <t>BLEKINGE LÄN</t>
        </is>
      </c>
      <c r="G541" t="inlineStr">
        <is>
          <t>RONNEBY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46282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45006</v>
      </c>
      <c r="E543" s="1" t="n">
        <v>46282</v>
      </c>
      <c r="F543" t="inlineStr">
        <is>
          <t>BLEKINGE LÄN</t>
        </is>
      </c>
      <c r="G543" t="inlineStr">
        <is>
          <t>RONNEBY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46282</v>
      </c>
      <c r="F544" t="inlineStr">
        <is>
          <t>BLEKINGE LÄN</t>
        </is>
      </c>
      <c r="G544" t="inlineStr">
        <is>
          <t>RONNEBY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46209</v>
      </c>
      <c r="E545" s="1" t="n">
        <v>46282</v>
      </c>
      <c r="F545" t="inlineStr">
        <is>
          <t>BLEKINGE LÄN</t>
        </is>
      </c>
      <c r="G545" t="inlineStr">
        <is>
          <t>RONNEBY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23424-2023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45076</v>
      </c>
      <c r="E546" s="1" t="n">
        <v>46282</v>
      </c>
      <c r="F546" t="inlineStr">
        <is>
          <t>BLEKINGE LÄN</t>
        </is>
      </c>
      <c r="G546" t="inlineStr">
        <is>
          <t>RONNEBY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46218</v>
      </c>
      <c r="E547" s="1" t="n">
        <v>46282</v>
      </c>
      <c r="F547" t="inlineStr">
        <is>
          <t>BLEKINGE LÄN</t>
        </is>
      </c>
      <c r="G547" t="inlineStr">
        <is>
          <t>RONNEBY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46259</v>
      </c>
      <c r="E548" s="1" t="n">
        <v>46282</v>
      </c>
      <c r="F548" t="inlineStr">
        <is>
          <t>BLEKINGE LÄN</t>
        </is>
      </c>
      <c r="G548" t="inlineStr">
        <is>
          <t>RONNEBY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35077-2026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46259</v>
      </c>
      <c r="E549" s="1" t="n">
        <v>46282</v>
      </c>
      <c r="F549" t="inlineStr">
        <is>
          <t>BLEKINGE LÄN</t>
        </is>
      </c>
      <c r="G549" t="inlineStr">
        <is>
          <t>RONNEBY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39925-2022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44819</v>
      </c>
      <c r="E550" s="1" t="n">
        <v>46282</v>
      </c>
      <c r="F550" t="inlineStr">
        <is>
          <t>BLEKINGE LÄN</t>
        </is>
      </c>
      <c r="G550" t="inlineStr">
        <is>
          <t>RONNEBY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44658</v>
      </c>
      <c r="E551" s="1" t="n">
        <v>46282</v>
      </c>
      <c r="F551" t="inlineStr">
        <is>
          <t>BLEKINGE LÄN</t>
        </is>
      </c>
      <c r="G551" t="inlineStr">
        <is>
          <t>RONNEBY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35344-2026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46282</v>
      </c>
      <c r="F552" t="inlineStr">
        <is>
          <t>BLEKINGE LÄN</t>
        </is>
      </c>
      <c r="G552" t="inlineStr">
        <is>
          <t>RONNEBY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46261</v>
      </c>
      <c r="E553" s="1" t="n">
        <v>46282</v>
      </c>
      <c r="F553" t="inlineStr">
        <is>
          <t>BLEKINGE LÄN</t>
        </is>
      </c>
      <c r="G553" t="inlineStr">
        <is>
          <t>RONNEBY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46282</v>
      </c>
      <c r="F554" t="inlineStr">
        <is>
          <t>BLEKINGE LÄN</t>
        </is>
      </c>
      <c r="G554" t="inlineStr">
        <is>
          <t>RONNEBY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45685</v>
      </c>
      <c r="E555" s="1" t="n">
        <v>46282</v>
      </c>
      <c r="F555" t="inlineStr">
        <is>
          <t>BLEKINGE LÄN</t>
        </is>
      </c>
      <c r="G555" t="inlineStr">
        <is>
          <t>RONNEBY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38090-2024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45545</v>
      </c>
      <c r="E556" s="1" t="n">
        <v>46282</v>
      </c>
      <c r="F556" t="inlineStr">
        <is>
          <t>BLEKINGE LÄN</t>
        </is>
      </c>
      <c r="G556" t="inlineStr">
        <is>
          <t>RONNEBY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46282</v>
      </c>
      <c r="F557" t="inlineStr">
        <is>
          <t>BLEKINGE LÄN</t>
        </is>
      </c>
      <c r="G557" t="inlineStr">
        <is>
          <t>RONNEBY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35760-2026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46265</v>
      </c>
      <c r="E558" s="1" t="n">
        <v>46282</v>
      </c>
      <c r="F558" t="inlineStr">
        <is>
          <t>BLEKINGE LÄN</t>
        </is>
      </c>
      <c r="G558" t="inlineStr">
        <is>
          <t>RONNEBY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46883-2023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45201</v>
      </c>
      <c r="E559" s="1" t="n">
        <v>46282</v>
      </c>
      <c r="F559" t="inlineStr">
        <is>
          <t>BLEKINGE LÄN</t>
        </is>
      </c>
      <c r="G559" t="inlineStr">
        <is>
          <t>RONNEBY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11242-2023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44992</v>
      </c>
      <c r="E560" s="1" t="n">
        <v>46282</v>
      </c>
      <c r="F560" t="inlineStr">
        <is>
          <t>BLEKINGE LÄN</t>
        </is>
      </c>
      <c r="G560" t="inlineStr">
        <is>
          <t>RONNEBY</t>
        </is>
      </c>
      <c r="H560" t="inlineStr">
        <is>
          <t>Övriga Aktiebolag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21442-2023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45063</v>
      </c>
      <c r="E561" s="1" t="n">
        <v>46282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46265</v>
      </c>
      <c r="E562" s="1" t="n">
        <v>46282</v>
      </c>
      <c r="F562" t="inlineStr">
        <is>
          <t>BLEKINGE LÄN</t>
        </is>
      </c>
      <c r="G562" t="inlineStr">
        <is>
          <t>RONNEBY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28704-2022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44748</v>
      </c>
      <c r="E563" s="1" t="n">
        <v>46282</v>
      </c>
      <c r="F563" t="inlineStr">
        <is>
          <t>BLEKINGE LÄN</t>
        </is>
      </c>
      <c r="G563" t="inlineStr">
        <is>
          <t>RONNEBY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46265</v>
      </c>
      <c r="E564" s="1" t="n">
        <v>46282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45078</v>
      </c>
      <c r="E565" s="1" t="n">
        <v>46282</v>
      </c>
      <c r="F565" t="inlineStr">
        <is>
          <t>BLEKINGE LÄN</t>
        </is>
      </c>
      <c r="G565" t="inlineStr">
        <is>
          <t>RONNEBY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45327</v>
      </c>
      <c r="E566" s="1" t="n">
        <v>46282</v>
      </c>
      <c r="F566" t="inlineStr">
        <is>
          <t>BLEKINGE LÄN</t>
        </is>
      </c>
      <c r="G566" t="inlineStr">
        <is>
          <t>RONNEBY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50198-2024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46282</v>
      </c>
      <c r="F567" t="inlineStr">
        <is>
          <t>BLEKINGE LÄN</t>
        </is>
      </c>
      <c r="G567" t="inlineStr">
        <is>
          <t>RONNEBY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53366-2021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44466</v>
      </c>
      <c r="E568" s="1" t="n">
        <v>46282</v>
      </c>
      <c r="F568" t="inlineStr">
        <is>
          <t>BLEKINGE LÄN</t>
        </is>
      </c>
      <c r="G568" t="inlineStr">
        <is>
          <t>RONNEBY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9302-2023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44980</v>
      </c>
      <c r="E569" s="1" t="n">
        <v>46282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44950</v>
      </c>
      <c r="E570" s="1" t="n">
        <v>46282</v>
      </c>
      <c r="F570" t="inlineStr">
        <is>
          <t>BLEKINGE LÄN</t>
        </is>
      </c>
      <c r="G570" t="inlineStr">
        <is>
          <t>RONNEBY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45722</v>
      </c>
      <c r="E571" s="1" t="n">
        <v>46282</v>
      </c>
      <c r="F571" t="inlineStr">
        <is>
          <t>BLEKINGE LÄN</t>
        </is>
      </c>
      <c r="G571" t="inlineStr">
        <is>
          <t>RONNEBY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46282</v>
      </c>
      <c r="F572" t="inlineStr">
        <is>
          <t>BLEKINGE LÄN</t>
        </is>
      </c>
      <c r="G572" t="inlineStr">
        <is>
          <t>RONNEBY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36219-2026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46282</v>
      </c>
      <c r="F573" t="inlineStr">
        <is>
          <t>BLEKINGE LÄN</t>
        </is>
      </c>
      <c r="G573" t="inlineStr">
        <is>
          <t>RONNEBY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46226</v>
      </c>
      <c r="E574" s="1" t="n">
        <v>46282</v>
      </c>
      <c r="F574" t="inlineStr">
        <is>
          <t>BLEKINGE LÄN</t>
        </is>
      </c>
      <c r="G574" t="inlineStr">
        <is>
          <t>RONNEBY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46282</v>
      </c>
      <c r="F575" t="inlineStr">
        <is>
          <t>BLEKINGE LÄN</t>
        </is>
      </c>
      <c r="G575" t="inlineStr">
        <is>
          <t>RONNEBY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46282</v>
      </c>
      <c r="F576" t="inlineStr">
        <is>
          <t>BLEKINGE LÄN</t>
        </is>
      </c>
      <c r="G576" t="inlineStr">
        <is>
          <t>RONNEBY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46282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36218-2026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46282</v>
      </c>
      <c r="F578" t="inlineStr">
        <is>
          <t>BLEKINGE LÄN</t>
        </is>
      </c>
      <c r="G578" t="inlineStr">
        <is>
          <t>RONNEBY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45407-2023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45194</v>
      </c>
      <c r="E579" s="1" t="n">
        <v>46282</v>
      </c>
      <c r="F579" t="inlineStr">
        <is>
          <t>BLEKINGE LÄN</t>
        </is>
      </c>
      <c r="G579" t="inlineStr">
        <is>
          <t>RONNEBY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20580-2023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45057</v>
      </c>
      <c r="E580" s="1" t="n">
        <v>46282</v>
      </c>
      <c r="F580" t="inlineStr">
        <is>
          <t>BLEKINGE LÄN</t>
        </is>
      </c>
      <c r="G580" t="inlineStr">
        <is>
          <t>RONNEBY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46282</v>
      </c>
      <c r="F581" t="inlineStr">
        <is>
          <t>BLEKINGE LÄN</t>
        </is>
      </c>
      <c r="G581" t="inlineStr">
        <is>
          <t>RONNEBY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36742-2026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46282</v>
      </c>
      <c r="F582" t="inlineStr">
        <is>
          <t>BLEKINGE LÄN</t>
        </is>
      </c>
      <c r="G582" t="inlineStr">
        <is>
          <t>RONNEBY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46282</v>
      </c>
      <c r="F583" t="inlineStr">
        <is>
          <t>BLEKINGE LÄN</t>
        </is>
      </c>
      <c r="G583" t="inlineStr">
        <is>
          <t>RONNEBY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14357-2023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45012</v>
      </c>
      <c r="E584" s="1" t="n">
        <v>46282</v>
      </c>
      <c r="F584" t="inlineStr">
        <is>
          <t>BLEKINGE LÄN</t>
        </is>
      </c>
      <c r="G584" t="inlineStr">
        <is>
          <t>RONNEBY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58552-2022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44902</v>
      </c>
      <c r="E585" s="1" t="n">
        <v>46282</v>
      </c>
      <c r="F585" t="inlineStr">
        <is>
          <t>BLEKINGE LÄN</t>
        </is>
      </c>
      <c r="G585" t="inlineStr">
        <is>
          <t>RONNEBY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31761-2026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46229</v>
      </c>
      <c r="E586" s="1" t="n">
        <v>46282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55350-2023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46282</v>
      </c>
      <c r="F587" t="inlineStr">
        <is>
          <t>BLEKINGE LÄN</t>
        </is>
      </c>
      <c r="G587" t="inlineStr">
        <is>
          <t>RONNEBY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46282</v>
      </c>
      <c r="F588" t="inlineStr">
        <is>
          <t>BLEKINGE LÄN</t>
        </is>
      </c>
      <c r="G588" t="inlineStr">
        <is>
          <t>RONNEBY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37861-2026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46282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46282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46282</v>
      </c>
      <c r="F591" t="inlineStr">
        <is>
          <t>BLEKINGE LÄN</t>
        </is>
      </c>
      <c r="G591" t="inlineStr">
        <is>
          <t>RONNEBY</t>
        </is>
      </c>
      <c r="H591" t="inlineStr">
        <is>
          <t>Övriga Aktiebolag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46282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37576-2026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46276</v>
      </c>
      <c r="E593" s="1" t="n">
        <v>46282</v>
      </c>
      <c r="F593" t="inlineStr">
        <is>
          <t>BLEKINGE LÄN</t>
        </is>
      </c>
      <c r="G593" t="inlineStr">
        <is>
          <t>RONNEBY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45104</v>
      </c>
      <c r="E594" s="1" t="n">
        <v>46282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10.9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29024-2023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45104</v>
      </c>
      <c r="E595" s="1" t="n">
        <v>46282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44452-2024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45574</v>
      </c>
      <c r="E596" s="1" t="n">
        <v>46282</v>
      </c>
      <c r="F596" t="inlineStr">
        <is>
          <t>BLEKINGE LÄN</t>
        </is>
      </c>
      <c r="G596" t="inlineStr">
        <is>
          <t>RONNEBY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34888-2024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46282</v>
      </c>
      <c r="F597" t="inlineStr">
        <is>
          <t>BLEKINGE LÄN</t>
        </is>
      </c>
      <c r="G597" t="inlineStr">
        <is>
          <t>RONNEBY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45531</v>
      </c>
      <c r="E598" s="1" t="n">
        <v>46282</v>
      </c>
      <c r="F598" t="inlineStr">
        <is>
          <t>BLEKINGE LÄN</t>
        </is>
      </c>
      <c r="G598" t="inlineStr">
        <is>
          <t>RONNEBY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41421-2024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45560</v>
      </c>
      <c r="E599" s="1" t="n">
        <v>46282</v>
      </c>
      <c r="F599" t="inlineStr">
        <is>
          <t>BLEKINGE LÄN</t>
        </is>
      </c>
      <c r="G599" t="inlineStr">
        <is>
          <t>RONNEBY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5227-2025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45691</v>
      </c>
      <c r="E600" s="1" t="n">
        <v>46282</v>
      </c>
      <c r="F600" t="inlineStr">
        <is>
          <t>BLEKINGE LÄN</t>
        </is>
      </c>
      <c r="G600" t="inlineStr">
        <is>
          <t>RONNEBY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45394</v>
      </c>
      <c r="E601" s="1" t="n">
        <v>46282</v>
      </c>
      <c r="F601" t="inlineStr">
        <is>
          <t>BLEKINGE LÄN</t>
        </is>
      </c>
      <c r="G601" t="inlineStr">
        <is>
          <t>RONNEBY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46282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44966</v>
      </c>
      <c r="E603" s="1" t="n">
        <v>46282</v>
      </c>
      <c r="F603" t="inlineStr">
        <is>
          <t>BLEKINGE LÄN</t>
        </is>
      </c>
      <c r="G603" t="inlineStr">
        <is>
          <t>RONNEBY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45104</v>
      </c>
      <c r="E604" s="1" t="n">
        <v>46282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45502</v>
      </c>
      <c r="E605" s="1" t="n">
        <v>46282</v>
      </c>
      <c r="F605" t="inlineStr">
        <is>
          <t>BLEKINGE LÄN</t>
        </is>
      </c>
      <c r="G605" t="inlineStr">
        <is>
          <t>RONNEBY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38168-2026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46281</v>
      </c>
      <c r="E606" s="1" t="n">
        <v>46282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46282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43056-2024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45567</v>
      </c>
      <c r="E608" s="1" t="n">
        <v>46282</v>
      </c>
      <c r="F608" t="inlineStr">
        <is>
          <t>BLEKINGE LÄN</t>
        </is>
      </c>
      <c r="G608" t="inlineStr">
        <is>
          <t>RONNEBY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46282</v>
      </c>
      <c r="F609" t="inlineStr">
        <is>
          <t>BLEKINGE LÄN</t>
        </is>
      </c>
      <c r="G609" t="inlineStr">
        <is>
          <t>RONNEBY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38463-2024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46282</v>
      </c>
      <c r="F610" t="inlineStr">
        <is>
          <t>BLEKINGE LÄN</t>
        </is>
      </c>
      <c r="G610" t="inlineStr">
        <is>
          <t>RONNEBY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45724</v>
      </c>
      <c r="E611" s="1" t="n">
        <v>46282</v>
      </c>
      <c r="F611" t="inlineStr">
        <is>
          <t>BLEKINGE LÄN</t>
        </is>
      </c>
      <c r="G611" t="inlineStr">
        <is>
          <t>RONNEBY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45642-2024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46282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45530</v>
      </c>
      <c r="E613" s="1" t="n">
        <v>46282</v>
      </c>
      <c r="F613" t="inlineStr">
        <is>
          <t>BLEKINGE LÄN</t>
        </is>
      </c>
      <c r="G613" t="inlineStr">
        <is>
          <t>RONNEBY</t>
        </is>
      </c>
      <c r="I613" t="n">
        <v>11.2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46282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42212-2024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45562</v>
      </c>
      <c r="E615" s="1" t="n">
        <v>46282</v>
      </c>
      <c r="F615" t="inlineStr">
        <is>
          <t>BLEKINGE LÄN</t>
        </is>
      </c>
      <c r="G615" t="inlineStr">
        <is>
          <t>RONNEBY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39564-2024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46282</v>
      </c>
      <c r="F616" t="inlineStr">
        <is>
          <t>BLEKINGE LÄN</t>
        </is>
      </c>
      <c r="G616" t="inlineStr">
        <is>
          <t>RONNEBY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64469-2023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45280</v>
      </c>
      <c r="E617" s="1" t="n">
        <v>46282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46282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46282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46282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46282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46282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46282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46282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46282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46282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46282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46282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46282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46282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46282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46282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46282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46282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46282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2026-09-17T02:03:08Z</dcterms:created>
  <dcterms:modified xmlns:dcterms="http://purl.org/dc/terms/" xmlns:xsi="http://www.w3.org/2001/XMLSchema-instance" xsi:type="dcterms:W3CDTF">2026-09-17T02:03:09Z</dcterms:modified>
</cp:coreProperties>
</file>