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45877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45877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45877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45877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45877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45877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45877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45877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45877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45877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45877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45877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45877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45877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45877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45877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45877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45877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45877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45877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45877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9500-2023</t>
        </is>
      </c>
      <c r="B23" s="1" t="n">
        <v>44981</v>
      </c>
      <c r="C23" s="1" t="n">
        <v>45877</v>
      </c>
      <c r="D23" t="inlineStr">
        <is>
          <t>BLEKINGE LÄN</t>
        </is>
      </c>
      <c r="E23" t="inlineStr">
        <is>
          <t>RONNEBY</t>
        </is>
      </c>
      <c r="G23" t="n">
        <v>2.1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Flenörtskapuschongfly</t>
        </is>
      </c>
      <c r="S23">
        <f>HYPERLINK("https://klasma.github.io/Logging_1081/artfynd/A 9500-2023 artfynd.xlsx", "A 9500-2023")</f>
        <v/>
      </c>
      <c r="T23">
        <f>HYPERLINK("https://klasma.github.io/Logging_1081/kartor/A 9500-2023 karta.png", "A 9500-2023")</f>
        <v/>
      </c>
      <c r="V23">
        <f>HYPERLINK("https://klasma.github.io/Logging_1081/klagomål/A 9500-2023 FSC-klagomål.docx", "A 9500-2023")</f>
        <v/>
      </c>
      <c r="W23">
        <f>HYPERLINK("https://klasma.github.io/Logging_1081/klagomålsmail/A 9500-2023 FSC-klagomål mail.docx", "A 9500-2023")</f>
        <v/>
      </c>
      <c r="X23">
        <f>HYPERLINK("https://klasma.github.io/Logging_1081/tillsyn/A 9500-2023 tillsynsbegäran.docx", "A 9500-2023")</f>
        <v/>
      </c>
      <c r="Y23">
        <f>HYPERLINK("https://klasma.github.io/Logging_1081/tillsynsmail/A 9500-2023 tillsynsbegäran mail.docx", "A 9500-2023")</f>
        <v/>
      </c>
    </row>
    <row r="24" ht="15" customHeight="1">
      <c r="A24" t="inlineStr">
        <is>
          <t>A 10064-2023</t>
        </is>
      </c>
      <c r="B24" s="1" t="n">
        <v>44985</v>
      </c>
      <c r="C24" s="1" t="n">
        <v>45877</v>
      </c>
      <c r="D24" t="inlineStr">
        <is>
          <t>BLEKINGE LÄN</t>
        </is>
      </c>
      <c r="E24" t="inlineStr">
        <is>
          <t>RONNEBY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blombock</t>
        </is>
      </c>
      <c r="S24">
        <f>HYPERLINK("https://klasma.github.io/Logging_1081/artfynd/A 10064-2023 artfynd.xlsx", "A 10064-2023")</f>
        <v/>
      </c>
      <c r="T24">
        <f>HYPERLINK("https://klasma.github.io/Logging_1081/kartor/A 10064-2023 karta.png", "A 10064-2023")</f>
        <v/>
      </c>
      <c r="V24">
        <f>HYPERLINK("https://klasma.github.io/Logging_1081/klagomål/A 10064-2023 FSC-klagomål.docx", "A 10064-2023")</f>
        <v/>
      </c>
      <c r="W24">
        <f>HYPERLINK("https://klasma.github.io/Logging_1081/klagomålsmail/A 10064-2023 FSC-klagomål mail.docx", "A 10064-2023")</f>
        <v/>
      </c>
      <c r="X24">
        <f>HYPERLINK("https://klasma.github.io/Logging_1081/tillsyn/A 10064-2023 tillsynsbegäran.docx", "A 10064-2023")</f>
        <v/>
      </c>
      <c r="Y24">
        <f>HYPERLINK("https://klasma.github.io/Logging_1081/tillsynsmail/A 10064-2023 tillsynsbegäran mail.docx", "A 10064-2023")</f>
        <v/>
      </c>
    </row>
    <row r="25" ht="15" customHeight="1">
      <c r="A25" t="inlineStr">
        <is>
          <t>A 12131-2023</t>
        </is>
      </c>
      <c r="B25" s="1" t="n">
        <v>44998</v>
      </c>
      <c r="C25" s="1" t="n">
        <v>45877</v>
      </c>
      <c r="D25" t="inlineStr">
        <is>
          <t>BLEKINGE LÄN</t>
        </is>
      </c>
      <c r="E25" t="inlineStr">
        <is>
          <t>RONNEBY</t>
        </is>
      </c>
      <c r="G25" t="n">
        <v>3.8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Svarthakad buskskvätta</t>
        </is>
      </c>
      <c r="S25">
        <f>HYPERLINK("https://klasma.github.io/Logging_1081/artfynd/A 12131-2023 artfynd.xlsx", "A 12131-2023")</f>
        <v/>
      </c>
      <c r="T25">
        <f>HYPERLINK("https://klasma.github.io/Logging_1081/kartor/A 12131-2023 karta.png", "A 12131-2023")</f>
        <v/>
      </c>
      <c r="V25">
        <f>HYPERLINK("https://klasma.github.io/Logging_1081/klagomål/A 12131-2023 FSC-klagomål.docx", "A 12131-2023")</f>
        <v/>
      </c>
      <c r="W25">
        <f>HYPERLINK("https://klasma.github.io/Logging_1081/klagomålsmail/A 12131-2023 FSC-klagomål mail.docx", "A 12131-2023")</f>
        <v/>
      </c>
      <c r="X25">
        <f>HYPERLINK("https://klasma.github.io/Logging_1081/tillsyn/A 12131-2023 tillsynsbegäran.docx", "A 12131-2023")</f>
        <v/>
      </c>
      <c r="Y25">
        <f>HYPERLINK("https://klasma.github.io/Logging_1081/tillsynsmail/A 12131-2023 tillsynsbegäran mail.docx", "A 12131-2023")</f>
        <v/>
      </c>
    </row>
    <row r="26" ht="15" customHeight="1">
      <c r="A26" t="inlineStr">
        <is>
          <t>A 14940-2023</t>
        </is>
      </c>
      <c r="B26" s="1" t="n">
        <v>45012</v>
      </c>
      <c r="C26" s="1" t="n">
        <v>45877</v>
      </c>
      <c r="D26" t="inlineStr">
        <is>
          <t>BLEKINGE LÄN</t>
        </is>
      </c>
      <c r="E26" t="inlineStr">
        <is>
          <t>RONNEBY</t>
        </is>
      </c>
      <c r="F26" t="inlineStr">
        <is>
          <t>Övriga statliga verk och myndigheter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14940-2023 artfynd.xlsx", "A 14940-2023")</f>
        <v/>
      </c>
      <c r="T26">
        <f>HYPERLINK("https://klasma.github.io/Logging_1081/kartor/A 14940-2023 karta.png", "A 14940-2023")</f>
        <v/>
      </c>
      <c r="V26">
        <f>HYPERLINK("https://klasma.github.io/Logging_1081/klagomål/A 14940-2023 FSC-klagomål.docx", "A 14940-2023")</f>
        <v/>
      </c>
      <c r="W26">
        <f>HYPERLINK("https://klasma.github.io/Logging_1081/klagomålsmail/A 14940-2023 FSC-klagomål mail.docx", "A 14940-2023")</f>
        <v/>
      </c>
      <c r="X26">
        <f>HYPERLINK("https://klasma.github.io/Logging_1081/tillsyn/A 14940-2023 tillsynsbegäran.docx", "A 14940-2023")</f>
        <v/>
      </c>
      <c r="Y26">
        <f>HYPERLINK("https://klasma.github.io/Logging_1081/tillsynsmail/A 14940-2023 tillsynsbegäran mail.docx", "A 14940-2023")</f>
        <v/>
      </c>
    </row>
    <row r="27" ht="15" customHeight="1">
      <c r="A27" t="inlineStr">
        <is>
          <t>A 32281-2023</t>
        </is>
      </c>
      <c r="B27" s="1" t="n">
        <v>45120</v>
      </c>
      <c r="C27" s="1" t="n">
        <v>45877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9.1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HYPERLINK("https://klasma.github.io/Logging_1081/artfynd/A 32281-2023 artfynd.xlsx", "A 32281-2023")</f>
        <v/>
      </c>
      <c r="T27">
        <f>HYPERLINK("https://klasma.github.io/Logging_1081/kartor/A 32281-2023 karta.png", "A 32281-2023")</f>
        <v/>
      </c>
      <c r="U27">
        <f>HYPERLINK("https://klasma.github.io/Logging_1081/knärot/A 32281-2023 karta knärot.png", "A 32281-2023")</f>
        <v/>
      </c>
      <c r="V27">
        <f>HYPERLINK("https://klasma.github.io/Logging_1081/klagomål/A 32281-2023 FSC-klagomål.docx", "A 32281-2023")</f>
        <v/>
      </c>
      <c r="W27">
        <f>HYPERLINK("https://klasma.github.io/Logging_1081/klagomålsmail/A 32281-2023 FSC-klagomål mail.docx", "A 32281-2023")</f>
        <v/>
      </c>
      <c r="X27">
        <f>HYPERLINK("https://klasma.github.io/Logging_1081/tillsyn/A 32281-2023 tillsynsbegäran.docx", "A 32281-2023")</f>
        <v/>
      </c>
      <c r="Y27">
        <f>HYPERLINK("https://klasma.github.io/Logging_1081/tillsynsmail/A 32281-2023 tillsynsbegäran mail.docx", "A 32281-2023")</f>
        <v/>
      </c>
    </row>
    <row r="28" ht="15" customHeight="1">
      <c r="A28" t="inlineStr">
        <is>
          <t>A 35060-2023</t>
        </is>
      </c>
      <c r="B28" s="1" t="n">
        <v>45145</v>
      </c>
      <c r="C28" s="1" t="n">
        <v>45877</v>
      </c>
      <c r="D28" t="inlineStr">
        <is>
          <t>BLEKINGE LÄN</t>
        </is>
      </c>
      <c r="E28" t="inlineStr">
        <is>
          <t>RONNEBY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HYPERLINK("https://klasma.github.io/Logging_1081/artfynd/A 35060-2023 artfynd.xlsx", "A 35060-2023")</f>
        <v/>
      </c>
      <c r="T28">
        <f>HYPERLINK("https://klasma.github.io/Logging_1081/kartor/A 35060-2023 karta.png", "A 35060-2023")</f>
        <v/>
      </c>
      <c r="V28">
        <f>HYPERLINK("https://klasma.github.io/Logging_1081/klagomål/A 35060-2023 FSC-klagomål.docx", "A 35060-2023")</f>
        <v/>
      </c>
      <c r="W28">
        <f>HYPERLINK("https://klasma.github.io/Logging_1081/klagomålsmail/A 35060-2023 FSC-klagomål mail.docx", "A 35060-2023")</f>
        <v/>
      </c>
      <c r="X28">
        <f>HYPERLINK("https://klasma.github.io/Logging_1081/tillsyn/A 35060-2023 tillsynsbegäran.docx", "A 35060-2023")</f>
        <v/>
      </c>
      <c r="Y28">
        <f>HYPERLINK("https://klasma.github.io/Logging_1081/tillsynsmail/A 35060-2023 tillsynsbegäran mail.docx", "A 35060-2023")</f>
        <v/>
      </c>
    </row>
    <row r="29" ht="15" customHeight="1">
      <c r="A29" t="inlineStr">
        <is>
          <t>A 36463-2023</t>
        </is>
      </c>
      <c r="B29" s="1" t="n">
        <v>45152</v>
      </c>
      <c r="C29" s="1" t="n">
        <v>45877</v>
      </c>
      <c r="D29" t="inlineStr">
        <is>
          <t>BLEKINGE LÄN</t>
        </is>
      </c>
      <c r="E29" t="inlineStr">
        <is>
          <t>RONNEBY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HYPERLINK("https://klasma.github.io/Logging_1081/artfynd/A 36463-2023 artfynd.xlsx", "A 36463-2023")</f>
        <v/>
      </c>
      <c r="T29">
        <f>HYPERLINK("https://klasma.github.io/Logging_1081/kartor/A 36463-2023 karta.png", "A 36463-2023")</f>
        <v/>
      </c>
      <c r="V29">
        <f>HYPERLINK("https://klasma.github.io/Logging_1081/klagomål/A 36463-2023 FSC-klagomål.docx", "A 36463-2023")</f>
        <v/>
      </c>
      <c r="W29">
        <f>HYPERLINK("https://klasma.github.io/Logging_1081/klagomålsmail/A 36463-2023 FSC-klagomål mail.docx", "A 36463-2023")</f>
        <v/>
      </c>
      <c r="X29">
        <f>HYPERLINK("https://klasma.github.io/Logging_1081/tillsyn/A 36463-2023 tillsynsbegäran.docx", "A 36463-2023")</f>
        <v/>
      </c>
      <c r="Y29">
        <f>HYPERLINK("https://klasma.github.io/Logging_1081/tillsynsmail/A 36463-2023 tillsynsbegäran mail.docx", "A 36463-2023")</f>
        <v/>
      </c>
    </row>
    <row r="30" ht="15" customHeight="1">
      <c r="A30" t="inlineStr">
        <is>
          <t>A 56459-2023</t>
        </is>
      </c>
      <c r="B30" s="1" t="n">
        <v>45237</v>
      </c>
      <c r="C30" s="1" t="n">
        <v>45877</v>
      </c>
      <c r="D30" t="inlineStr">
        <is>
          <t>BLEKINGE LÄN</t>
        </is>
      </c>
      <c r="E30" t="inlineStr">
        <is>
          <t>RONNEBY</t>
        </is>
      </c>
      <c r="G30" t="n">
        <v>8.800000000000001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HYPERLINK("https://klasma.github.io/Logging_1081/artfynd/A 56459-2023 artfynd.xlsx", "A 56459-2023")</f>
        <v/>
      </c>
      <c r="T30">
        <f>HYPERLINK("https://klasma.github.io/Logging_1081/kartor/A 56459-2023 karta.png", "A 56459-2023")</f>
        <v/>
      </c>
      <c r="V30">
        <f>HYPERLINK("https://klasma.github.io/Logging_1081/klagomål/A 56459-2023 FSC-klagomål.docx", "A 56459-2023")</f>
        <v/>
      </c>
      <c r="W30">
        <f>HYPERLINK("https://klasma.github.io/Logging_1081/klagomålsmail/A 56459-2023 FSC-klagomål mail.docx", "A 56459-2023")</f>
        <v/>
      </c>
      <c r="X30">
        <f>HYPERLINK("https://klasma.github.io/Logging_1081/tillsyn/A 56459-2023 tillsynsbegäran.docx", "A 56459-2023")</f>
        <v/>
      </c>
      <c r="Y30">
        <f>HYPERLINK("https://klasma.github.io/Logging_1081/tillsynsmail/A 56459-2023 tillsynsbegäran mail.docx", "A 56459-2023")</f>
        <v/>
      </c>
    </row>
    <row r="31" ht="15" customHeight="1">
      <c r="A31" t="inlineStr">
        <is>
          <t>A 3656-2024</t>
        </is>
      </c>
      <c r="B31" s="1" t="n">
        <v>45321</v>
      </c>
      <c r="C31" s="1" t="n">
        <v>45877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HYPERLINK("https://klasma.github.io/Logging_1081/artfynd/A 3656-2024 artfynd.xlsx", "A 3656-2024")</f>
        <v/>
      </c>
      <c r="T31">
        <f>HYPERLINK("https://klasma.github.io/Logging_1081/kartor/A 3656-2024 karta.png", "A 3656-2024")</f>
        <v/>
      </c>
      <c r="V31">
        <f>HYPERLINK("https://klasma.github.io/Logging_1081/klagomål/A 3656-2024 FSC-klagomål.docx", "A 3656-2024")</f>
        <v/>
      </c>
      <c r="W31">
        <f>HYPERLINK("https://klasma.github.io/Logging_1081/klagomålsmail/A 3656-2024 FSC-klagomål mail.docx", "A 3656-2024")</f>
        <v/>
      </c>
      <c r="X31">
        <f>HYPERLINK("https://klasma.github.io/Logging_1081/tillsyn/A 3656-2024 tillsynsbegäran.docx", "A 3656-2024")</f>
        <v/>
      </c>
      <c r="Y31">
        <f>HYPERLINK("https://klasma.github.io/Logging_1081/tillsynsmail/A 3656-2024 tillsynsbegäran mail.docx", "A 3656-2024")</f>
        <v/>
      </c>
    </row>
    <row r="32" ht="15" customHeight="1">
      <c r="A32" t="inlineStr">
        <is>
          <t>A 7449-2024</t>
        </is>
      </c>
      <c r="B32" s="1" t="n">
        <v>45345</v>
      </c>
      <c r="C32" s="1" t="n">
        <v>45877</v>
      </c>
      <c r="D32" t="inlineStr">
        <is>
          <t>BLEKINGE LÄN</t>
        </is>
      </c>
      <c r="E32" t="inlineStr">
        <is>
          <t>RONNEBY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 glada</t>
        </is>
      </c>
      <c r="S32">
        <f>HYPERLINK("https://klasma.github.io/Logging_1081/artfynd/A 7449-2024 artfynd.xlsx", "A 7449-2024")</f>
        <v/>
      </c>
      <c r="T32">
        <f>HYPERLINK("https://klasma.github.io/Logging_1081/kartor/A 7449-2024 karta.png", "A 7449-2024")</f>
        <v/>
      </c>
      <c r="V32">
        <f>HYPERLINK("https://klasma.github.io/Logging_1081/klagomål/A 7449-2024 FSC-klagomål.docx", "A 7449-2024")</f>
        <v/>
      </c>
      <c r="W32">
        <f>HYPERLINK("https://klasma.github.io/Logging_1081/klagomålsmail/A 7449-2024 FSC-klagomål mail.docx", "A 7449-2024")</f>
        <v/>
      </c>
      <c r="X32">
        <f>HYPERLINK("https://klasma.github.io/Logging_1081/tillsyn/A 7449-2024 tillsynsbegäran.docx", "A 7449-2024")</f>
        <v/>
      </c>
      <c r="Y32">
        <f>HYPERLINK("https://klasma.github.io/Logging_1081/tillsynsmail/A 7449-2024 tillsynsbegäran mail.docx", "A 7449-2024")</f>
        <v/>
      </c>
      <c r="Z32">
        <f>HYPERLINK("https://klasma.github.io/Logging_1081/fåglar/A 7449-2024 prioriterade fågelarter.docx", "A 7449-2024")</f>
        <v/>
      </c>
    </row>
    <row r="33" ht="15" customHeight="1">
      <c r="A33" t="inlineStr">
        <is>
          <t>A 24296-2024</t>
        </is>
      </c>
      <c r="B33" s="1" t="n">
        <v>45457</v>
      </c>
      <c r="C33" s="1" t="n">
        <v>45877</v>
      </c>
      <c r="D33" t="inlineStr">
        <is>
          <t>BLEKINGE LÄN</t>
        </is>
      </c>
      <c r="E33" t="inlineStr">
        <is>
          <t>RONNEBY</t>
        </is>
      </c>
      <c r="G33" t="n">
        <v>12.7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HYPERLINK("https://klasma.github.io/Logging_1081/artfynd/A 24296-2024 artfynd.xlsx", "A 24296-2024")</f>
        <v/>
      </c>
      <c r="T33">
        <f>HYPERLINK("https://klasma.github.io/Logging_1081/kartor/A 24296-2024 karta.png", "A 24296-2024")</f>
        <v/>
      </c>
      <c r="V33">
        <f>HYPERLINK("https://klasma.github.io/Logging_1081/klagomål/A 24296-2024 FSC-klagomål.docx", "A 24296-2024")</f>
        <v/>
      </c>
      <c r="W33">
        <f>HYPERLINK("https://klasma.github.io/Logging_1081/klagomålsmail/A 24296-2024 FSC-klagomål mail.docx", "A 24296-2024")</f>
        <v/>
      </c>
      <c r="X33">
        <f>HYPERLINK("https://klasma.github.io/Logging_1081/tillsyn/A 24296-2024 tillsynsbegäran.docx", "A 24296-2024")</f>
        <v/>
      </c>
      <c r="Y33">
        <f>HYPERLINK("https://klasma.github.io/Logging_1081/tillsynsmail/A 24296-2024 tillsynsbegäran mail.docx", "A 24296-2024")</f>
        <v/>
      </c>
    </row>
    <row r="34" ht="15" customHeight="1">
      <c r="A34" t="inlineStr">
        <is>
          <t>A 24682-2024</t>
        </is>
      </c>
      <c r="B34" s="1" t="n">
        <v>45460</v>
      </c>
      <c r="C34" s="1" t="n">
        <v>45877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Bokkantlav</t>
        </is>
      </c>
      <c r="S34">
        <f>HYPERLINK("https://klasma.github.io/Logging_1081/artfynd/A 24682-2024 artfynd.xlsx", "A 24682-2024")</f>
        <v/>
      </c>
      <c r="T34">
        <f>HYPERLINK("https://klasma.github.io/Logging_1081/kartor/A 24682-2024 karta.png", "A 24682-2024")</f>
        <v/>
      </c>
      <c r="V34">
        <f>HYPERLINK("https://klasma.github.io/Logging_1081/klagomål/A 24682-2024 FSC-klagomål.docx", "A 24682-2024")</f>
        <v/>
      </c>
      <c r="W34">
        <f>HYPERLINK("https://klasma.github.io/Logging_1081/klagomålsmail/A 24682-2024 FSC-klagomål mail.docx", "A 24682-2024")</f>
        <v/>
      </c>
      <c r="X34">
        <f>HYPERLINK("https://klasma.github.io/Logging_1081/tillsyn/A 24682-2024 tillsynsbegäran.docx", "A 24682-2024")</f>
        <v/>
      </c>
      <c r="Y34">
        <f>HYPERLINK("https://klasma.github.io/Logging_1081/tillsynsmail/A 24682-2024 tillsynsbegäran mail.docx", "A 24682-2024")</f>
        <v/>
      </c>
    </row>
    <row r="35" ht="15" customHeight="1">
      <c r="A35" t="inlineStr">
        <is>
          <t>A 27128-2024</t>
        </is>
      </c>
      <c r="B35" s="1" t="n">
        <v>45471</v>
      </c>
      <c r="C35" s="1" t="n">
        <v>45877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27128-2024 artfynd.xlsx", "A 27128-2024")</f>
        <v/>
      </c>
      <c r="T35">
        <f>HYPERLINK("https://klasma.github.io/Logging_1081/kartor/A 27128-2024 karta.png", "A 27128-2024")</f>
        <v/>
      </c>
      <c r="V35">
        <f>HYPERLINK("https://klasma.github.io/Logging_1081/klagomål/A 27128-2024 FSC-klagomål.docx", "A 27128-2024")</f>
        <v/>
      </c>
      <c r="W35">
        <f>HYPERLINK("https://klasma.github.io/Logging_1081/klagomålsmail/A 27128-2024 FSC-klagomål mail.docx", "A 27128-2024")</f>
        <v/>
      </c>
      <c r="X35">
        <f>HYPERLINK("https://klasma.github.io/Logging_1081/tillsyn/A 27128-2024 tillsynsbegäran.docx", "A 27128-2024")</f>
        <v/>
      </c>
      <c r="Y35">
        <f>HYPERLINK("https://klasma.github.io/Logging_1081/tillsynsmail/A 27128-2024 tillsynsbegäran mail.docx", "A 27128-2024")</f>
        <v/>
      </c>
    </row>
    <row r="36" ht="15" customHeight="1">
      <c r="A36" t="inlineStr">
        <is>
          <t>A 41053-2024</t>
        </is>
      </c>
      <c r="B36" s="1" t="n">
        <v>45559</v>
      </c>
      <c r="C36" s="1" t="n">
        <v>45877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HYPERLINK("https://klasma.github.io/Logging_1081/artfynd/A 41053-2024 artfynd.xlsx", "A 41053-2024")</f>
        <v/>
      </c>
      <c r="T36">
        <f>HYPERLINK("https://klasma.github.io/Logging_1081/kartor/A 41053-2024 karta.png", "A 41053-2024")</f>
        <v/>
      </c>
      <c r="V36">
        <f>HYPERLINK("https://klasma.github.io/Logging_1081/klagomål/A 41053-2024 FSC-klagomål.docx", "A 41053-2024")</f>
        <v/>
      </c>
      <c r="W36">
        <f>HYPERLINK("https://klasma.github.io/Logging_1081/klagomålsmail/A 41053-2024 FSC-klagomål mail.docx", "A 41053-2024")</f>
        <v/>
      </c>
      <c r="X36">
        <f>HYPERLINK("https://klasma.github.io/Logging_1081/tillsyn/A 41053-2024 tillsynsbegäran.docx", "A 41053-2024")</f>
        <v/>
      </c>
      <c r="Y36">
        <f>HYPERLINK("https://klasma.github.io/Logging_1081/tillsynsmail/A 41053-2024 tillsynsbegäran mail.docx", "A 41053-2024")</f>
        <v/>
      </c>
    </row>
    <row r="37" ht="15" customHeight="1">
      <c r="A37" t="inlineStr">
        <is>
          <t>A 41050-2024</t>
        </is>
      </c>
      <c r="B37" s="1" t="n">
        <v>45559</v>
      </c>
      <c r="C37" s="1" t="n">
        <v>45877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Havstulpanlav</t>
        </is>
      </c>
      <c r="S37">
        <f>HYPERLINK("https://klasma.github.io/Logging_1081/artfynd/A 41050-2024 artfynd.xlsx", "A 41050-2024")</f>
        <v/>
      </c>
      <c r="T37">
        <f>HYPERLINK("https://klasma.github.io/Logging_1081/kartor/A 41050-2024 karta.png", "A 41050-2024")</f>
        <v/>
      </c>
      <c r="V37">
        <f>HYPERLINK("https://klasma.github.io/Logging_1081/klagomål/A 41050-2024 FSC-klagomål.docx", "A 41050-2024")</f>
        <v/>
      </c>
      <c r="W37">
        <f>HYPERLINK("https://klasma.github.io/Logging_1081/klagomålsmail/A 41050-2024 FSC-klagomål mail.docx", "A 41050-2024")</f>
        <v/>
      </c>
      <c r="X37">
        <f>HYPERLINK("https://klasma.github.io/Logging_1081/tillsyn/A 41050-2024 tillsynsbegäran.docx", "A 41050-2024")</f>
        <v/>
      </c>
      <c r="Y37">
        <f>HYPERLINK("https://klasma.github.io/Logging_1081/tillsynsmail/A 41050-2024 tillsynsbegäran mail.docx", "A 41050-2024")</f>
        <v/>
      </c>
    </row>
    <row r="38" ht="15" customHeight="1">
      <c r="A38" t="inlineStr">
        <is>
          <t>A 3339-2025</t>
        </is>
      </c>
      <c r="B38" s="1" t="n">
        <v>45679</v>
      </c>
      <c r="C38" s="1" t="n">
        <v>45877</v>
      </c>
      <c r="D38" t="inlineStr">
        <is>
          <t>BLEKINGE LÄN</t>
        </is>
      </c>
      <c r="E38" t="inlineStr">
        <is>
          <t>RONNEBY</t>
        </is>
      </c>
      <c r="G38" t="n">
        <v>3.5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HYPERLINK("https://klasma.github.io/Logging_1081/artfynd/A 3339-2025 artfynd.xlsx", "A 3339-2025")</f>
        <v/>
      </c>
      <c r="T38">
        <f>HYPERLINK("https://klasma.github.io/Logging_1081/kartor/A 3339-2025 karta.png", "A 3339-2025")</f>
        <v/>
      </c>
      <c r="V38">
        <f>HYPERLINK("https://klasma.github.io/Logging_1081/klagomål/A 3339-2025 FSC-klagomål.docx", "A 3339-2025")</f>
        <v/>
      </c>
      <c r="W38">
        <f>HYPERLINK("https://klasma.github.io/Logging_1081/klagomålsmail/A 3339-2025 FSC-klagomål mail.docx", "A 3339-2025")</f>
        <v/>
      </c>
      <c r="X38">
        <f>HYPERLINK("https://klasma.github.io/Logging_1081/tillsyn/A 3339-2025 tillsynsbegäran.docx", "A 3339-2025")</f>
        <v/>
      </c>
      <c r="Y38">
        <f>HYPERLINK("https://klasma.github.io/Logging_1081/tillsynsmail/A 3339-2025 tillsynsbegäran mail.docx", "A 3339-2025")</f>
        <v/>
      </c>
    </row>
    <row r="39" ht="15" customHeight="1">
      <c r="A39" t="inlineStr">
        <is>
          <t>A 10323-2025</t>
        </is>
      </c>
      <c r="B39" s="1" t="n">
        <v>45720</v>
      </c>
      <c r="C39" s="1" t="n">
        <v>45877</v>
      </c>
      <c r="D39" t="inlineStr">
        <is>
          <t>BLEKINGE LÄN</t>
        </is>
      </c>
      <c r="E39" t="inlineStr">
        <is>
          <t>RONNEBY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HYPERLINK("https://klasma.github.io/Logging_101081/artfynd/A 10323-2025 artfynd.xlsx", "A 10323-2025")</f>
        <v/>
      </c>
      <c r="T39">
        <f>HYPERLINK("https://klasma.github.io/Logging_101081/kartor/A 10323-2025 karta.png", "A 10323-2025")</f>
        <v/>
      </c>
      <c r="V39">
        <f>HYPERLINK("https://klasma.github.io/Logging_101081/klagomål/A 10323-2025 FSC-klagomål.docx", "A 10323-2025")</f>
        <v/>
      </c>
      <c r="W39">
        <f>HYPERLINK("https://klasma.github.io/Logging_101081/klagomålsmail/A 10323-2025 FSC-klagomål mail.docx", "A 10323-2025")</f>
        <v/>
      </c>
      <c r="X39">
        <f>HYPERLINK("https://klasma.github.io/Logging_101081/tillsyn/A 10323-2025 tillsynsbegäran.docx", "A 10323-2025")</f>
        <v/>
      </c>
      <c r="Y39">
        <f>HYPERLINK("https://klasma.github.io/Logging_101081/tillsynsmail/A 10323-2025 tillsynsbegäran mail.docx", "A 10323-2025")</f>
        <v/>
      </c>
    </row>
    <row r="40" ht="15" customHeight="1">
      <c r="A40" t="inlineStr">
        <is>
          <t>A 10862-2025</t>
        </is>
      </c>
      <c r="B40" s="1" t="n">
        <v>45722</v>
      </c>
      <c r="C40" s="1" t="n">
        <v>45877</v>
      </c>
      <c r="D40" t="inlineStr">
        <is>
          <t>BLEKINGE LÄN</t>
        </is>
      </c>
      <c r="E40" t="inlineStr">
        <is>
          <t>RONNEBY</t>
        </is>
      </c>
      <c r="F40" t="inlineStr">
        <is>
          <t>Kommuner</t>
        </is>
      </c>
      <c r="G40" t="n">
        <v>10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Skuggorangelav</t>
        </is>
      </c>
      <c r="S40">
        <f>HYPERLINK("https://klasma.github.io/Logging_101081/artfynd/A 10862-2025 artfynd.xlsx", "A 10862-2025")</f>
        <v/>
      </c>
      <c r="T40">
        <f>HYPERLINK("https://klasma.github.io/Logging_101081/kartor/A 10862-2025 karta.png", "A 10862-2025")</f>
        <v/>
      </c>
      <c r="V40">
        <f>HYPERLINK("https://klasma.github.io/Logging_101081/klagomål/A 10862-2025 FSC-klagomål.docx", "A 10862-2025")</f>
        <v/>
      </c>
      <c r="W40">
        <f>HYPERLINK("https://klasma.github.io/Logging_101081/klagomålsmail/A 10862-2025 FSC-klagomål mail.docx", "A 10862-2025")</f>
        <v/>
      </c>
      <c r="X40">
        <f>HYPERLINK("https://klasma.github.io/Logging_101081/tillsyn/A 10862-2025 tillsynsbegäran.docx", "A 10862-2025")</f>
        <v/>
      </c>
      <c r="Y40">
        <f>HYPERLINK("https://klasma.github.io/Logging_101081/tillsynsmail/A 10862-2025 tillsynsbegäran mail.docx", "A 10862-2025")</f>
        <v/>
      </c>
    </row>
    <row r="41" ht="15" customHeight="1">
      <c r="A41" t="inlineStr">
        <is>
          <t>A 18336-2019</t>
        </is>
      </c>
      <c r="B41" s="1" t="n">
        <v>43558</v>
      </c>
      <c r="C41" s="1" t="n">
        <v>45877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18333-2019</t>
        </is>
      </c>
      <c r="B42" s="1" t="n">
        <v>43558</v>
      </c>
      <c r="C42" s="1" t="n">
        <v>45877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18836-2019</t>
        </is>
      </c>
      <c r="B43" s="1" t="n">
        <v>43563</v>
      </c>
      <c r="C43" s="1" t="n">
        <v>45877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18858-2019</t>
        </is>
      </c>
      <c r="B44" s="1" t="n">
        <v>43563</v>
      </c>
      <c r="C44" s="1" t="n">
        <v>45877</v>
      </c>
      <c r="D44" t="inlineStr">
        <is>
          <t>BLEKINGE LÄN</t>
        </is>
      </c>
      <c r="E44" t="inlineStr">
        <is>
          <t>RONNEBY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19107-2019</t>
        </is>
      </c>
      <c r="B45" s="1" t="n">
        <v>43564</v>
      </c>
      <c r="C45" s="1" t="n">
        <v>45877</v>
      </c>
      <c r="D45" t="inlineStr">
        <is>
          <t>BLEKINGE LÄN</t>
        </is>
      </c>
      <c r="E45" t="inlineStr">
        <is>
          <t>RONNEBY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19513-2019</t>
        </is>
      </c>
      <c r="B46" s="1" t="n">
        <v>43565</v>
      </c>
      <c r="C46" s="1" t="n">
        <v>45877</v>
      </c>
      <c r="D46" t="inlineStr">
        <is>
          <t>BLEKINGE LÄN</t>
        </is>
      </c>
      <c r="E46" t="inlineStr">
        <is>
          <t>RONNEBY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20366-2019</t>
        </is>
      </c>
      <c r="B47" s="1" t="n">
        <v>43570</v>
      </c>
      <c r="C47" s="1" t="n">
        <v>45877</v>
      </c>
      <c r="D47" t="inlineStr">
        <is>
          <t>BLEKINGE LÄN</t>
        </is>
      </c>
      <c r="E47" t="inlineStr">
        <is>
          <t>RONNEBY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20320-2019</t>
        </is>
      </c>
      <c r="B48" s="1" t="n">
        <v>43570</v>
      </c>
      <c r="C48" s="1" t="n">
        <v>45877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20192-2019</t>
        </is>
      </c>
      <c r="B49" s="1" t="n">
        <v>43570</v>
      </c>
      <c r="C49" s="1" t="n">
        <v>45877</v>
      </c>
      <c r="D49" t="inlineStr">
        <is>
          <t>BLEKINGE LÄN</t>
        </is>
      </c>
      <c r="E49" t="inlineStr">
        <is>
          <t>RONNEBY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20317-2019</t>
        </is>
      </c>
      <c r="B50" s="1" t="n">
        <v>43570</v>
      </c>
      <c r="C50" s="1" t="n">
        <v>45877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20478-2019</t>
        </is>
      </c>
      <c r="B51" s="1" t="n">
        <v>43572</v>
      </c>
      <c r="C51" s="1" t="n">
        <v>45877</v>
      </c>
      <c r="D51" t="inlineStr">
        <is>
          <t>BLEKINGE LÄN</t>
        </is>
      </c>
      <c r="E51" t="inlineStr">
        <is>
          <t>RONNEBY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20618-2019</t>
        </is>
      </c>
      <c r="B52" s="1" t="n">
        <v>43572</v>
      </c>
      <c r="C52" s="1" t="n">
        <v>45877</v>
      </c>
      <c r="D52" t="inlineStr">
        <is>
          <t>BLEKINGE LÄN</t>
        </is>
      </c>
      <c r="E52" t="inlineStr">
        <is>
          <t>RONNEBY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20615-2019</t>
        </is>
      </c>
      <c r="B53" s="1" t="n">
        <v>43572</v>
      </c>
      <c r="C53" s="1" t="n">
        <v>45877</v>
      </c>
      <c r="D53" t="inlineStr">
        <is>
          <t>BLEKINGE LÄN</t>
        </is>
      </c>
      <c r="E53" t="inlineStr">
        <is>
          <t>RONNEBY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20762-2019</t>
        </is>
      </c>
      <c r="B54" s="1" t="n">
        <v>43573</v>
      </c>
      <c r="C54" s="1" t="n">
        <v>45877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20764-2019</t>
        </is>
      </c>
      <c r="B55" s="1" t="n">
        <v>43573</v>
      </c>
      <c r="C55" s="1" t="n">
        <v>45877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20751-2019</t>
        </is>
      </c>
      <c r="B56" s="1" t="n">
        <v>43573</v>
      </c>
      <c r="C56" s="1" t="n">
        <v>45877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20758-2019</t>
        </is>
      </c>
      <c r="B57" s="1" t="n">
        <v>43573</v>
      </c>
      <c r="C57" s="1" t="n">
        <v>45877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20745-2019</t>
        </is>
      </c>
      <c r="B58" s="1" t="n">
        <v>43573</v>
      </c>
      <c r="C58" s="1" t="n">
        <v>45877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20771-2019</t>
        </is>
      </c>
      <c r="B59" s="1" t="n">
        <v>43573</v>
      </c>
      <c r="C59" s="1" t="n">
        <v>45877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20755-2019</t>
        </is>
      </c>
      <c r="B60" s="1" t="n">
        <v>43573</v>
      </c>
      <c r="C60" s="1" t="n">
        <v>45877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20802-2019</t>
        </is>
      </c>
      <c r="B61" s="1" t="n">
        <v>43573</v>
      </c>
      <c r="C61" s="1" t="n">
        <v>45877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21539-2019</t>
        </is>
      </c>
      <c r="B62" s="1" t="n">
        <v>43580</v>
      </c>
      <c r="C62" s="1" t="n">
        <v>45877</v>
      </c>
      <c r="D62" t="inlineStr">
        <is>
          <t>BLEKINGE LÄN</t>
        </is>
      </c>
      <c r="E62" t="inlineStr">
        <is>
          <t>RONNEBY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21544-2019</t>
        </is>
      </c>
      <c r="B63" s="1" t="n">
        <v>43580</v>
      </c>
      <c r="C63" s="1" t="n">
        <v>45877</v>
      </c>
      <c r="D63" t="inlineStr">
        <is>
          <t>BLEKINGE LÄN</t>
        </is>
      </c>
      <c r="E63" t="inlineStr">
        <is>
          <t>RONNEBY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21779-2019</t>
        </is>
      </c>
      <c r="B64" s="1" t="n">
        <v>43581</v>
      </c>
      <c r="C64" s="1" t="n">
        <v>45877</v>
      </c>
      <c r="D64" t="inlineStr">
        <is>
          <t>BLEKINGE LÄN</t>
        </is>
      </c>
      <c r="E64" t="inlineStr">
        <is>
          <t>RONNEBY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21690-2019</t>
        </is>
      </c>
      <c r="B65" s="1" t="n">
        <v>43581</v>
      </c>
      <c r="C65" s="1" t="n">
        <v>45877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24408-2019</t>
        </is>
      </c>
      <c r="B66" s="1" t="n">
        <v>43600</v>
      </c>
      <c r="C66" s="1" t="n">
        <v>45877</v>
      </c>
      <c r="D66" t="inlineStr">
        <is>
          <t>BLEKINGE LÄN</t>
        </is>
      </c>
      <c r="E66" t="inlineStr">
        <is>
          <t>RONNEBY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24493-2019</t>
        </is>
      </c>
      <c r="B67" s="1" t="n">
        <v>43600</v>
      </c>
      <c r="C67" s="1" t="n">
        <v>45877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24416-2019</t>
        </is>
      </c>
      <c r="B68" s="1" t="n">
        <v>43600</v>
      </c>
      <c r="C68" s="1" t="n">
        <v>45877</v>
      </c>
      <c r="D68" t="inlineStr">
        <is>
          <t>BLEKINGE LÄN</t>
        </is>
      </c>
      <c r="E68" t="inlineStr">
        <is>
          <t>RONNEBY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24655-2019</t>
        </is>
      </c>
      <c r="B69" s="1" t="n">
        <v>43601</v>
      </c>
      <c r="C69" s="1" t="n">
        <v>45877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24663-2019</t>
        </is>
      </c>
      <c r="B70" s="1" t="n">
        <v>43601</v>
      </c>
      <c r="C70" s="1" t="n">
        <v>45877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25903-2019</t>
        </is>
      </c>
      <c r="B71" s="1" t="n">
        <v>43605</v>
      </c>
      <c r="C71" s="1" t="n">
        <v>45877</v>
      </c>
      <c r="D71" t="inlineStr">
        <is>
          <t>BLEKINGE LÄN</t>
        </is>
      </c>
      <c r="E71" t="inlineStr">
        <is>
          <t>RONNEBY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26959-2019</t>
        </is>
      </c>
      <c r="B72" s="1" t="n">
        <v>43614</v>
      </c>
      <c r="C72" s="1" t="n">
        <v>45877</v>
      </c>
      <c r="D72" t="inlineStr">
        <is>
          <t>BLEKINGE LÄN</t>
        </is>
      </c>
      <c r="E72" t="inlineStr">
        <is>
          <t>RONNEBY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27748-2019</t>
        </is>
      </c>
      <c r="B73" s="1" t="n">
        <v>43619</v>
      </c>
      <c r="C73" s="1" t="n">
        <v>45877</v>
      </c>
      <c r="D73" t="inlineStr">
        <is>
          <t>BLEKINGE LÄN</t>
        </is>
      </c>
      <c r="E73" t="inlineStr">
        <is>
          <t>RONNEBY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27753-2019</t>
        </is>
      </c>
      <c r="B74" s="1" t="n">
        <v>43619</v>
      </c>
      <c r="C74" s="1" t="n">
        <v>45877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27749-2019</t>
        </is>
      </c>
      <c r="B75" s="1" t="n">
        <v>43619</v>
      </c>
      <c r="C75" s="1" t="n">
        <v>45877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27742-2019</t>
        </is>
      </c>
      <c r="B76" s="1" t="n">
        <v>43619</v>
      </c>
      <c r="C76" s="1" t="n">
        <v>45877</v>
      </c>
      <c r="D76" t="inlineStr">
        <is>
          <t>BLEKINGE LÄN</t>
        </is>
      </c>
      <c r="E76" t="inlineStr">
        <is>
          <t>RONNEBY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27750-2019</t>
        </is>
      </c>
      <c r="B77" s="1" t="n">
        <v>43619</v>
      </c>
      <c r="C77" s="1" t="n">
        <v>45877</v>
      </c>
      <c r="D77" t="inlineStr">
        <is>
          <t>BLEKINGE LÄN</t>
        </is>
      </c>
      <c r="E77" t="inlineStr">
        <is>
          <t>RONNEBY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27752-2019</t>
        </is>
      </c>
      <c r="B78" s="1" t="n">
        <v>43619</v>
      </c>
      <c r="C78" s="1" t="n">
        <v>45877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27744-2019</t>
        </is>
      </c>
      <c r="B79" s="1" t="n">
        <v>43619</v>
      </c>
      <c r="C79" s="1" t="n">
        <v>45877</v>
      </c>
      <c r="D79" t="inlineStr">
        <is>
          <t>BLEKINGE LÄN</t>
        </is>
      </c>
      <c r="E79" t="inlineStr">
        <is>
          <t>RONNEBY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28003-2019</t>
        </is>
      </c>
      <c r="B80" s="1" t="n">
        <v>43621</v>
      </c>
      <c r="C80" s="1" t="n">
        <v>45877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28839-2019</t>
        </is>
      </c>
      <c r="B81" s="1" t="n">
        <v>43627</v>
      </c>
      <c r="C81" s="1" t="n">
        <v>45877</v>
      </c>
      <c r="D81" t="inlineStr">
        <is>
          <t>BLEKINGE LÄN</t>
        </is>
      </c>
      <c r="E81" t="inlineStr">
        <is>
          <t>RONNEBY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29405-2019</t>
        </is>
      </c>
      <c r="B82" s="1" t="n">
        <v>43629</v>
      </c>
      <c r="C82" s="1" t="n">
        <v>45877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29417-2019</t>
        </is>
      </c>
      <c r="B83" s="1" t="n">
        <v>43629</v>
      </c>
      <c r="C83" s="1" t="n">
        <v>45877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29404-2019</t>
        </is>
      </c>
      <c r="B84" s="1" t="n">
        <v>43629</v>
      </c>
      <c r="C84" s="1" t="n">
        <v>45877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29927-2019</t>
        </is>
      </c>
      <c r="B85" s="1" t="n">
        <v>43630</v>
      </c>
      <c r="C85" s="1" t="n">
        <v>45877</v>
      </c>
      <c r="D85" t="inlineStr">
        <is>
          <t>BLEKINGE LÄN</t>
        </is>
      </c>
      <c r="E85" t="inlineStr">
        <is>
          <t>RONNEBY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31476-2019</t>
        </is>
      </c>
      <c r="B86" s="1" t="n">
        <v>43640</v>
      </c>
      <c r="C86" s="1" t="n">
        <v>45877</v>
      </c>
      <c r="D86" t="inlineStr">
        <is>
          <t>BLEKINGE LÄN</t>
        </is>
      </c>
      <c r="E86" t="inlineStr">
        <is>
          <t>RONNEBY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34509-2019</t>
        </is>
      </c>
      <c r="B87" s="1" t="n">
        <v>43647</v>
      </c>
      <c r="C87" s="1" t="n">
        <v>45877</v>
      </c>
      <c r="D87" t="inlineStr">
        <is>
          <t>BLEKINGE LÄN</t>
        </is>
      </c>
      <c r="E87" t="inlineStr">
        <is>
          <t>RONNEBY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34534-2019</t>
        </is>
      </c>
      <c r="B88" s="1" t="n">
        <v>43647</v>
      </c>
      <c r="C88" s="1" t="n">
        <v>45877</v>
      </c>
      <c r="D88" t="inlineStr">
        <is>
          <t>BLEKINGE LÄN</t>
        </is>
      </c>
      <c r="E88" t="inlineStr">
        <is>
          <t>RONNEBY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34517-2019</t>
        </is>
      </c>
      <c r="B89" s="1" t="n">
        <v>43647</v>
      </c>
      <c r="C89" s="1" t="n">
        <v>45877</v>
      </c>
      <c r="D89" t="inlineStr">
        <is>
          <t>BLEKINGE LÄN</t>
        </is>
      </c>
      <c r="E89" t="inlineStr">
        <is>
          <t>RONNEBY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34523-2019</t>
        </is>
      </c>
      <c r="B90" s="1" t="n">
        <v>43647</v>
      </c>
      <c r="C90" s="1" t="n">
        <v>45877</v>
      </c>
      <c r="D90" t="inlineStr">
        <is>
          <t>BLEKINGE LÄN</t>
        </is>
      </c>
      <c r="E90" t="inlineStr">
        <is>
          <t>RONNEBY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32773-2019</t>
        </is>
      </c>
      <c r="B91" s="1" t="n">
        <v>43648</v>
      </c>
      <c r="C91" s="1" t="n">
        <v>45877</v>
      </c>
      <c r="D91" t="inlineStr">
        <is>
          <t>BLEKINGE LÄN</t>
        </is>
      </c>
      <c r="E91" t="inlineStr">
        <is>
          <t>RONNEBY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32781-2019</t>
        </is>
      </c>
      <c r="B92" s="1" t="n">
        <v>43648</v>
      </c>
      <c r="C92" s="1" t="n">
        <v>45877</v>
      </c>
      <c r="D92" t="inlineStr">
        <is>
          <t>BLEKINGE LÄN</t>
        </is>
      </c>
      <c r="E92" t="inlineStr">
        <is>
          <t>RONNEBY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34661-2019</t>
        </is>
      </c>
      <c r="B93" s="1" t="n">
        <v>43648</v>
      </c>
      <c r="C93" s="1" t="n">
        <v>45877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33269-2019</t>
        </is>
      </c>
      <c r="B94" s="1" t="n">
        <v>43650</v>
      </c>
      <c r="C94" s="1" t="n">
        <v>45877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34190-2019</t>
        </is>
      </c>
      <c r="B95" s="1" t="n">
        <v>43655</v>
      </c>
      <c r="C95" s="1" t="n">
        <v>45877</v>
      </c>
      <c r="D95" t="inlineStr">
        <is>
          <t>BLEKINGE LÄN</t>
        </is>
      </c>
      <c r="E95" t="inlineStr">
        <is>
          <t>RONNEBY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35227-2019</t>
        </is>
      </c>
      <c r="B96" s="1" t="n">
        <v>43662</v>
      </c>
      <c r="C96" s="1" t="n">
        <v>45877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35312-2019</t>
        </is>
      </c>
      <c r="B97" s="1" t="n">
        <v>43662</v>
      </c>
      <c r="C97" s="1" t="n">
        <v>45877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36638-2019</t>
        </is>
      </c>
      <c r="B98" s="1" t="n">
        <v>43669</v>
      </c>
      <c r="C98" s="1" t="n">
        <v>45877</v>
      </c>
      <c r="D98" t="inlineStr">
        <is>
          <t>BLEKINGE LÄN</t>
        </is>
      </c>
      <c r="E98" t="inlineStr">
        <is>
          <t>RONNEBY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36425-2019</t>
        </is>
      </c>
      <c r="B99" s="1" t="n">
        <v>43670</v>
      </c>
      <c r="C99" s="1" t="n">
        <v>45877</v>
      </c>
      <c r="D99" t="inlineStr">
        <is>
          <t>BLEKINGE LÄN</t>
        </is>
      </c>
      <c r="E99" t="inlineStr">
        <is>
          <t>RONNEBY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36300-2019</t>
        </is>
      </c>
      <c r="B100" s="1" t="n">
        <v>43670</v>
      </c>
      <c r="C100" s="1" t="n">
        <v>45877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37218-2019</t>
        </is>
      </c>
      <c r="B101" s="1" t="n">
        <v>43677</v>
      </c>
      <c r="C101" s="1" t="n">
        <v>45877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37204-2019</t>
        </is>
      </c>
      <c r="B102" s="1" t="n">
        <v>43677</v>
      </c>
      <c r="C102" s="1" t="n">
        <v>45877</v>
      </c>
      <c r="D102" t="inlineStr">
        <is>
          <t>BLEKINGE LÄN</t>
        </is>
      </c>
      <c r="E102" t="inlineStr">
        <is>
          <t>RONNEBY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37322-2019</t>
        </is>
      </c>
      <c r="B103" s="1" t="n">
        <v>43678</v>
      </c>
      <c r="C103" s="1" t="n">
        <v>45877</v>
      </c>
      <c r="D103" t="inlineStr">
        <is>
          <t>BLEKINGE LÄN</t>
        </is>
      </c>
      <c r="E103" t="inlineStr">
        <is>
          <t>RONNEBY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37323-2019</t>
        </is>
      </c>
      <c r="B104" s="1" t="n">
        <v>43678</v>
      </c>
      <c r="C104" s="1" t="n">
        <v>45877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37621-2019</t>
        </is>
      </c>
      <c r="B105" s="1" t="n">
        <v>43681</v>
      </c>
      <c r="C105" s="1" t="n">
        <v>45877</v>
      </c>
      <c r="D105" t="inlineStr">
        <is>
          <t>BLEKINGE LÄN</t>
        </is>
      </c>
      <c r="E105" t="inlineStr">
        <is>
          <t>RONNEBY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37873-2019</t>
        </is>
      </c>
      <c r="B106" s="1" t="n">
        <v>43682</v>
      </c>
      <c r="C106" s="1" t="n">
        <v>45877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37874-2019</t>
        </is>
      </c>
      <c r="B107" s="1" t="n">
        <v>43682</v>
      </c>
      <c r="C107" s="1" t="n">
        <v>45877</v>
      </c>
      <c r="D107" t="inlineStr">
        <is>
          <t>BLEKINGE LÄN</t>
        </is>
      </c>
      <c r="E107" t="inlineStr">
        <is>
          <t>RONNEBY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38153-2019</t>
        </is>
      </c>
      <c r="B108" s="1" t="n">
        <v>43684</v>
      </c>
      <c r="C108" s="1" t="n">
        <v>45877</v>
      </c>
      <c r="D108" t="inlineStr">
        <is>
          <t>BLEKINGE LÄN</t>
        </is>
      </c>
      <c r="E108" t="inlineStr">
        <is>
          <t>RONNEBY</t>
        </is>
      </c>
      <c r="F108" t="inlineStr">
        <is>
          <t>Kyrkan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38426-2019</t>
        </is>
      </c>
      <c r="B109" s="1" t="n">
        <v>43685</v>
      </c>
      <c r="C109" s="1" t="n">
        <v>45877</v>
      </c>
      <c r="D109" t="inlineStr">
        <is>
          <t>BLEKINGE LÄN</t>
        </is>
      </c>
      <c r="E109" t="inlineStr">
        <is>
          <t>RONNEBY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38554-2019</t>
        </is>
      </c>
      <c r="B110" s="1" t="n">
        <v>43685</v>
      </c>
      <c r="C110" s="1" t="n">
        <v>45877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38555-2019</t>
        </is>
      </c>
      <c r="B111" s="1" t="n">
        <v>43685</v>
      </c>
      <c r="C111" s="1" t="n">
        <v>45877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38547-2019</t>
        </is>
      </c>
      <c r="B112" s="1" t="n">
        <v>43685</v>
      </c>
      <c r="C112" s="1" t="n">
        <v>45877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39782-2019</t>
        </is>
      </c>
      <c r="B113" s="1" t="n">
        <v>43689</v>
      </c>
      <c r="C113" s="1" t="n">
        <v>45877</v>
      </c>
      <c r="D113" t="inlineStr">
        <is>
          <t>BLEKINGE LÄN</t>
        </is>
      </c>
      <c r="E113" t="inlineStr">
        <is>
          <t>RONNEBY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39350-2019</t>
        </is>
      </c>
      <c r="B114" s="1" t="n">
        <v>43690</v>
      </c>
      <c r="C114" s="1" t="n">
        <v>45877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39903-2019</t>
        </is>
      </c>
      <c r="B115" s="1" t="n">
        <v>43692</v>
      </c>
      <c r="C115" s="1" t="n">
        <v>45877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39967-2019</t>
        </is>
      </c>
      <c r="B116" s="1" t="n">
        <v>43692</v>
      </c>
      <c r="C116" s="1" t="n">
        <v>45877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39976-2019</t>
        </is>
      </c>
      <c r="B117" s="1" t="n">
        <v>43692</v>
      </c>
      <c r="C117" s="1" t="n">
        <v>45877</v>
      </c>
      <c r="D117" t="inlineStr">
        <is>
          <t>BLEKINGE LÄN</t>
        </is>
      </c>
      <c r="E117" t="inlineStr">
        <is>
          <t>RONNEBY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39972-2019</t>
        </is>
      </c>
      <c r="B118" s="1" t="n">
        <v>43692</v>
      </c>
      <c r="C118" s="1" t="n">
        <v>45877</v>
      </c>
      <c r="D118" t="inlineStr">
        <is>
          <t>BLEKINGE LÄN</t>
        </is>
      </c>
      <c r="E118" t="inlineStr">
        <is>
          <t>RONNEBY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40649-2019</t>
        </is>
      </c>
      <c r="B119" s="1" t="n">
        <v>43696</v>
      </c>
      <c r="C119" s="1" t="n">
        <v>45877</v>
      </c>
      <c r="D119" t="inlineStr">
        <is>
          <t>BLEKINGE LÄN</t>
        </is>
      </c>
      <c r="E119" t="inlineStr">
        <is>
          <t>RONNEBY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40840-2019</t>
        </is>
      </c>
      <c r="B120" s="1" t="n">
        <v>43697</v>
      </c>
      <c r="C120" s="1" t="n">
        <v>45877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41382-2019</t>
        </is>
      </c>
      <c r="B121" s="1" t="n">
        <v>43698</v>
      </c>
      <c r="C121" s="1" t="n">
        <v>45877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41387-2019</t>
        </is>
      </c>
      <c r="B122" s="1" t="n">
        <v>43698</v>
      </c>
      <c r="C122" s="1" t="n">
        <v>45877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41547-2019</t>
        </is>
      </c>
      <c r="B123" s="1" t="n">
        <v>43699</v>
      </c>
      <c r="C123" s="1" t="n">
        <v>45877</v>
      </c>
      <c r="D123" t="inlineStr">
        <is>
          <t>BLEKINGE LÄN</t>
        </is>
      </c>
      <c r="E123" t="inlineStr">
        <is>
          <t>RONNEBY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43167-2019</t>
        </is>
      </c>
      <c r="B124" s="1" t="n">
        <v>43705</v>
      </c>
      <c r="C124" s="1" t="n">
        <v>45877</v>
      </c>
      <c r="D124" t="inlineStr">
        <is>
          <t>BLEKINGE LÄN</t>
        </is>
      </c>
      <c r="E124" t="inlineStr">
        <is>
          <t>RONNEBY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42848-2019</t>
        </is>
      </c>
      <c r="B125" s="1" t="n">
        <v>43705</v>
      </c>
      <c r="C125" s="1" t="n">
        <v>45877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43521-2019</t>
        </is>
      </c>
      <c r="B126" s="1" t="n">
        <v>43706</v>
      </c>
      <c r="C126" s="1" t="n">
        <v>45877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43735-2019</t>
        </is>
      </c>
      <c r="B127" s="1" t="n">
        <v>43707</v>
      </c>
      <c r="C127" s="1" t="n">
        <v>45877</v>
      </c>
      <c r="D127" t="inlineStr">
        <is>
          <t>BLEKINGE LÄN</t>
        </is>
      </c>
      <c r="E127" t="inlineStr">
        <is>
          <t>RONNEBY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43739-2019</t>
        </is>
      </c>
      <c r="B128" s="1" t="n">
        <v>43707</v>
      </c>
      <c r="C128" s="1" t="n">
        <v>45877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44298-2019</t>
        </is>
      </c>
      <c r="B129" s="1" t="n">
        <v>43710</v>
      </c>
      <c r="C129" s="1" t="n">
        <v>45877</v>
      </c>
      <c r="D129" t="inlineStr">
        <is>
          <t>BLEKINGE LÄN</t>
        </is>
      </c>
      <c r="E129" t="inlineStr">
        <is>
          <t>RONNEBY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44301-2019</t>
        </is>
      </c>
      <c r="B130" s="1" t="n">
        <v>43710</v>
      </c>
      <c r="C130" s="1" t="n">
        <v>45877</v>
      </c>
      <c r="D130" t="inlineStr">
        <is>
          <t>BLEKINGE LÄN</t>
        </is>
      </c>
      <c r="E130" t="inlineStr">
        <is>
          <t>RONNEBY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44507-2019</t>
        </is>
      </c>
      <c r="B131" s="1" t="n">
        <v>43711</v>
      </c>
      <c r="C131" s="1" t="n">
        <v>45877</v>
      </c>
      <c r="D131" t="inlineStr">
        <is>
          <t>BLEKINGE LÄN</t>
        </is>
      </c>
      <c r="E131" t="inlineStr">
        <is>
          <t>RONNEBY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44558-2019</t>
        </is>
      </c>
      <c r="B132" s="1" t="n">
        <v>43711</v>
      </c>
      <c r="C132" s="1" t="n">
        <v>45877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44556-2019</t>
        </is>
      </c>
      <c r="B133" s="1" t="n">
        <v>43711</v>
      </c>
      <c r="C133" s="1" t="n">
        <v>45877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44872-2019</t>
        </is>
      </c>
      <c r="B134" s="1" t="n">
        <v>43712</v>
      </c>
      <c r="C134" s="1" t="n">
        <v>45877</v>
      </c>
      <c r="D134" t="inlineStr">
        <is>
          <t>BLEKINGE LÄN</t>
        </is>
      </c>
      <c r="E134" t="inlineStr">
        <is>
          <t>RONNEBY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45871-2019</t>
        </is>
      </c>
      <c r="B135" s="1" t="n">
        <v>43712</v>
      </c>
      <c r="C135" s="1" t="n">
        <v>45877</v>
      </c>
      <c r="D135" t="inlineStr">
        <is>
          <t>BLEKINGE LÄN</t>
        </is>
      </c>
      <c r="E135" t="inlineStr">
        <is>
          <t>RONNEBY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45644-2019</t>
        </is>
      </c>
      <c r="B136" s="1" t="n">
        <v>43717</v>
      </c>
      <c r="C136" s="1" t="n">
        <v>45877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46319-2019</t>
        </is>
      </c>
      <c r="B137" s="1" t="n">
        <v>43718</v>
      </c>
      <c r="C137" s="1" t="n">
        <v>45877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47057-2019</t>
        </is>
      </c>
      <c r="B138" s="1" t="n">
        <v>43720</v>
      </c>
      <c r="C138" s="1" t="n">
        <v>45877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47993-2019</t>
        </is>
      </c>
      <c r="B139" s="1" t="n">
        <v>43725</v>
      </c>
      <c r="C139" s="1" t="n">
        <v>45877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48113-2019</t>
        </is>
      </c>
      <c r="B140" s="1" t="n">
        <v>43725</v>
      </c>
      <c r="C140" s="1" t="n">
        <v>45877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47992-2019</t>
        </is>
      </c>
      <c r="B141" s="1" t="n">
        <v>43725</v>
      </c>
      <c r="C141" s="1" t="n">
        <v>45877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48111-2019</t>
        </is>
      </c>
      <c r="B142" s="1" t="n">
        <v>43725</v>
      </c>
      <c r="C142" s="1" t="n">
        <v>45877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48239-2019</t>
        </is>
      </c>
      <c r="B143" s="1" t="n">
        <v>43726</v>
      </c>
      <c r="C143" s="1" t="n">
        <v>45877</v>
      </c>
      <c r="D143" t="inlineStr">
        <is>
          <t>BLEKINGE LÄN</t>
        </is>
      </c>
      <c r="E143" t="inlineStr">
        <is>
          <t>RONNEBY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48313-2019</t>
        </is>
      </c>
      <c r="B144" s="1" t="n">
        <v>43726</v>
      </c>
      <c r="C144" s="1" t="n">
        <v>45877</v>
      </c>
      <c r="D144" t="inlineStr">
        <is>
          <t>BLEKINGE LÄN</t>
        </is>
      </c>
      <c r="E144" t="inlineStr">
        <is>
          <t>RONNEBY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48400-2019</t>
        </is>
      </c>
      <c r="B145" s="1" t="n">
        <v>43727</v>
      </c>
      <c r="C145" s="1" t="n">
        <v>45877</v>
      </c>
      <c r="D145" t="inlineStr">
        <is>
          <t>BLEKINGE LÄN</t>
        </is>
      </c>
      <c r="E145" t="inlineStr">
        <is>
          <t>RONNEBY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48401-2019</t>
        </is>
      </c>
      <c r="B146" s="1" t="n">
        <v>43727</v>
      </c>
      <c r="C146" s="1" t="n">
        <v>45877</v>
      </c>
      <c r="D146" t="inlineStr">
        <is>
          <t>BLEKINGE LÄN</t>
        </is>
      </c>
      <c r="E146" t="inlineStr">
        <is>
          <t>RONNEBY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48994-2019</t>
        </is>
      </c>
      <c r="B147" s="1" t="n">
        <v>43730</v>
      </c>
      <c r="C147" s="1" t="n">
        <v>45877</v>
      </c>
      <c r="D147" t="inlineStr">
        <is>
          <t>BLEKINGE LÄN</t>
        </is>
      </c>
      <c r="E147" t="inlineStr">
        <is>
          <t>RONNEBY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49827-2019</t>
        </is>
      </c>
      <c r="B148" s="1" t="n">
        <v>43733</v>
      </c>
      <c r="C148" s="1" t="n">
        <v>45877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51935-2019</t>
        </is>
      </c>
      <c r="B149" s="1" t="n">
        <v>43741</v>
      </c>
      <c r="C149" s="1" t="n">
        <v>45877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51941-2019</t>
        </is>
      </c>
      <c r="B150" s="1" t="n">
        <v>43741</v>
      </c>
      <c r="C150" s="1" t="n">
        <v>45877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52249-2019</t>
        </is>
      </c>
      <c r="B151" s="1" t="n">
        <v>43742</v>
      </c>
      <c r="C151" s="1" t="n">
        <v>45877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52413-2019</t>
        </is>
      </c>
      <c r="B152" s="1" t="n">
        <v>43745</v>
      </c>
      <c r="C152" s="1" t="n">
        <v>45877</v>
      </c>
      <c r="D152" t="inlineStr">
        <is>
          <t>BLEKINGE LÄN</t>
        </is>
      </c>
      <c r="E152" t="inlineStr">
        <is>
          <t>RONNEBY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52685-2019</t>
        </is>
      </c>
      <c r="B153" s="1" t="n">
        <v>43746</v>
      </c>
      <c r="C153" s="1" t="n">
        <v>45877</v>
      </c>
      <c r="D153" t="inlineStr">
        <is>
          <t>BLEKINGE LÄN</t>
        </is>
      </c>
      <c r="E153" t="inlineStr">
        <is>
          <t>RONNEBY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52789-2019</t>
        </is>
      </c>
      <c r="B154" s="1" t="n">
        <v>43746</v>
      </c>
      <c r="C154" s="1" t="n">
        <v>45877</v>
      </c>
      <c r="D154" t="inlineStr">
        <is>
          <t>BLEKINGE LÄN</t>
        </is>
      </c>
      <c r="E154" t="inlineStr">
        <is>
          <t>RONNEBY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53455-2019</t>
        </is>
      </c>
      <c r="B155" s="1" t="n">
        <v>43748</v>
      </c>
      <c r="C155" s="1" t="n">
        <v>45877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54813-2019</t>
        </is>
      </c>
      <c r="B156" s="1" t="n">
        <v>43749</v>
      </c>
      <c r="C156" s="1" t="n">
        <v>45877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53709-2019</t>
        </is>
      </c>
      <c r="B157" s="1" t="n">
        <v>43749</v>
      </c>
      <c r="C157" s="1" t="n">
        <v>45877</v>
      </c>
      <c r="D157" t="inlineStr">
        <is>
          <t>BLEKINGE LÄN</t>
        </is>
      </c>
      <c r="E157" t="inlineStr">
        <is>
          <t>RONNEBY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55099-2019</t>
        </is>
      </c>
      <c r="B158" s="1" t="n">
        <v>43752</v>
      </c>
      <c r="C158" s="1" t="n">
        <v>45877</v>
      </c>
      <c r="D158" t="inlineStr">
        <is>
          <t>BLEKINGE LÄN</t>
        </is>
      </c>
      <c r="E158" t="inlineStr">
        <is>
          <t>RONNEBY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54454-2019</t>
        </is>
      </c>
      <c r="B159" s="1" t="n">
        <v>43754</v>
      </c>
      <c r="C159" s="1" t="n">
        <v>45877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55002-2019</t>
        </is>
      </c>
      <c r="B160" s="1" t="n">
        <v>43755</v>
      </c>
      <c r="C160" s="1" t="n">
        <v>45877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54994-2019</t>
        </is>
      </c>
      <c r="B161" s="1" t="n">
        <v>43755</v>
      </c>
      <c r="C161" s="1" t="n">
        <v>45877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56147-2019</t>
        </is>
      </c>
      <c r="B162" s="1" t="n">
        <v>43761</v>
      </c>
      <c r="C162" s="1" t="n">
        <v>45877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56167-2019</t>
        </is>
      </c>
      <c r="B163" s="1" t="n">
        <v>43761</v>
      </c>
      <c r="C163" s="1" t="n">
        <v>45877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56646-2019</t>
        </is>
      </c>
      <c r="B164" s="1" t="n">
        <v>43763</v>
      </c>
      <c r="C164" s="1" t="n">
        <v>45877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56878-2019</t>
        </is>
      </c>
      <c r="B165" s="1" t="n">
        <v>43766</v>
      </c>
      <c r="C165" s="1" t="n">
        <v>45877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56880-2019</t>
        </is>
      </c>
      <c r="B166" s="1" t="n">
        <v>43766</v>
      </c>
      <c r="C166" s="1" t="n">
        <v>45877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57543-2019</t>
        </is>
      </c>
      <c r="B167" s="1" t="n">
        <v>43767</v>
      </c>
      <c r="C167" s="1" t="n">
        <v>45877</v>
      </c>
      <c r="D167" t="inlineStr">
        <is>
          <t>BLEKINGE LÄN</t>
        </is>
      </c>
      <c r="E167" t="inlineStr">
        <is>
          <t>RONNEBY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57542-2019</t>
        </is>
      </c>
      <c r="B168" s="1" t="n">
        <v>43767</v>
      </c>
      <c r="C168" s="1" t="n">
        <v>45877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57750-2019</t>
        </is>
      </c>
      <c r="B169" s="1" t="n">
        <v>43768</v>
      </c>
      <c r="C169" s="1" t="n">
        <v>45877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58220-2019</t>
        </is>
      </c>
      <c r="B170" s="1" t="n">
        <v>43770</v>
      </c>
      <c r="C170" s="1" t="n">
        <v>45877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60527-2019</t>
        </is>
      </c>
      <c r="B171" s="1" t="n">
        <v>43781</v>
      </c>
      <c r="C171" s="1" t="n">
        <v>45877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60724-2019</t>
        </is>
      </c>
      <c r="B172" s="1" t="n">
        <v>43781</v>
      </c>
      <c r="C172" s="1" t="n">
        <v>45877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60745-2019</t>
        </is>
      </c>
      <c r="B173" s="1" t="n">
        <v>43781</v>
      </c>
      <c r="C173" s="1" t="n">
        <v>45877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60723-2019</t>
        </is>
      </c>
      <c r="B174" s="1" t="n">
        <v>43781</v>
      </c>
      <c r="C174" s="1" t="n">
        <v>45877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61271-2019</t>
        </is>
      </c>
      <c r="B175" s="1" t="n">
        <v>43783</v>
      </c>
      <c r="C175" s="1" t="n">
        <v>45877</v>
      </c>
      <c r="D175" t="inlineStr">
        <is>
          <t>BLEKINGE LÄN</t>
        </is>
      </c>
      <c r="E175" t="inlineStr">
        <is>
          <t>RONNEBY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61506-2019</t>
        </is>
      </c>
      <c r="B176" s="1" t="n">
        <v>43783</v>
      </c>
      <c r="C176" s="1" t="n">
        <v>45877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61883-2019</t>
        </is>
      </c>
      <c r="B177" s="1" t="n">
        <v>43787</v>
      </c>
      <c r="C177" s="1" t="n">
        <v>45877</v>
      </c>
      <c r="D177" t="inlineStr">
        <is>
          <t>BLEKINGE LÄN</t>
        </is>
      </c>
      <c r="E177" t="inlineStr">
        <is>
          <t>RONNEBY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63003-2019</t>
        </is>
      </c>
      <c r="B178" s="1" t="n">
        <v>43790</v>
      </c>
      <c r="C178" s="1" t="n">
        <v>45877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66495-2019</t>
        </is>
      </c>
      <c r="B179" s="1" t="n">
        <v>43803</v>
      </c>
      <c r="C179" s="1" t="n">
        <v>45877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65408-2019</t>
        </is>
      </c>
      <c r="B180" s="1" t="n">
        <v>43803</v>
      </c>
      <c r="C180" s="1" t="n">
        <v>45877</v>
      </c>
      <c r="D180" t="inlineStr">
        <is>
          <t>BLEKINGE LÄN</t>
        </is>
      </c>
      <c r="E180" t="inlineStr">
        <is>
          <t>RONNEBY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65716-2019</t>
        </is>
      </c>
      <c r="B181" s="1" t="n">
        <v>43804</v>
      </c>
      <c r="C181" s="1" t="n">
        <v>45877</v>
      </c>
      <c r="D181" t="inlineStr">
        <is>
          <t>BLEKINGE LÄN</t>
        </is>
      </c>
      <c r="E181" t="inlineStr">
        <is>
          <t>RONNEBY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66143-2019</t>
        </is>
      </c>
      <c r="B182" s="1" t="n">
        <v>43808</v>
      </c>
      <c r="C182" s="1" t="n">
        <v>45877</v>
      </c>
      <c r="D182" t="inlineStr">
        <is>
          <t>BLEKINGE LÄN</t>
        </is>
      </c>
      <c r="E182" t="inlineStr">
        <is>
          <t>RONNEBY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67192-2019</t>
        </is>
      </c>
      <c r="B183" s="1" t="n">
        <v>43811</v>
      </c>
      <c r="C183" s="1" t="n">
        <v>45877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67189-2019</t>
        </is>
      </c>
      <c r="B184" s="1" t="n">
        <v>43811</v>
      </c>
      <c r="C184" s="1" t="n">
        <v>45877</v>
      </c>
      <c r="D184" t="inlineStr">
        <is>
          <t>BLEKINGE LÄN</t>
        </is>
      </c>
      <c r="E184" t="inlineStr">
        <is>
          <t>RONNEBY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67191-2019</t>
        </is>
      </c>
      <c r="B185" s="1" t="n">
        <v>43811</v>
      </c>
      <c r="C185" s="1" t="n">
        <v>45877</v>
      </c>
      <c r="D185" t="inlineStr">
        <is>
          <t>BLEKINGE LÄN</t>
        </is>
      </c>
      <c r="E185" t="inlineStr">
        <is>
          <t>RONNEBY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68113-2019</t>
        </is>
      </c>
      <c r="B186" s="1" t="n">
        <v>43817</v>
      </c>
      <c r="C186" s="1" t="n">
        <v>45877</v>
      </c>
      <c r="D186" t="inlineStr">
        <is>
          <t>BLEKINGE LÄN</t>
        </is>
      </c>
      <c r="E186" t="inlineStr">
        <is>
          <t>RONNEBY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68198-2019</t>
        </is>
      </c>
      <c r="B187" s="1" t="n">
        <v>43817</v>
      </c>
      <c r="C187" s="1" t="n">
        <v>45877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68114-2019</t>
        </is>
      </c>
      <c r="B188" s="1" t="n">
        <v>43817</v>
      </c>
      <c r="C188" s="1" t="n">
        <v>45877</v>
      </c>
      <c r="D188" t="inlineStr">
        <is>
          <t>BLEKINGE LÄN</t>
        </is>
      </c>
      <c r="E188" t="inlineStr">
        <is>
          <t>RONNEBY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68454-2019</t>
        </is>
      </c>
      <c r="B189" s="1" t="n">
        <v>43818</v>
      </c>
      <c r="C189" s="1" t="n">
        <v>45877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68943-2019</t>
        </is>
      </c>
      <c r="B190" s="1" t="n">
        <v>43822</v>
      </c>
      <c r="C190" s="1" t="n">
        <v>45877</v>
      </c>
      <c r="D190" t="inlineStr">
        <is>
          <t>BLEKINGE LÄN</t>
        </is>
      </c>
      <c r="E190" t="inlineStr">
        <is>
          <t>RONNEBY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68947-2019</t>
        </is>
      </c>
      <c r="B191" s="1" t="n">
        <v>43822</v>
      </c>
      <c r="C191" s="1" t="n">
        <v>45877</v>
      </c>
      <c r="D191" t="inlineStr">
        <is>
          <t>BLEKINGE LÄN</t>
        </is>
      </c>
      <c r="E191" t="inlineStr">
        <is>
          <t>RONNEBY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33-2020</t>
        </is>
      </c>
      <c r="B192" s="1" t="n">
        <v>43832</v>
      </c>
      <c r="C192" s="1" t="n">
        <v>45877</v>
      </c>
      <c r="D192" t="inlineStr">
        <is>
          <t>BLEKINGE LÄN</t>
        </is>
      </c>
      <c r="E192" t="inlineStr">
        <is>
          <t>RONNEBY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194-2020</t>
        </is>
      </c>
      <c r="B193" s="1" t="n">
        <v>43833</v>
      </c>
      <c r="C193" s="1" t="n">
        <v>45877</v>
      </c>
      <c r="D193" t="inlineStr">
        <is>
          <t>BLEKINGE LÄN</t>
        </is>
      </c>
      <c r="E193" t="inlineStr">
        <is>
          <t>RONNEBY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367-2020</t>
        </is>
      </c>
      <c r="B194" s="1" t="n">
        <v>43837</v>
      </c>
      <c r="C194" s="1" t="n">
        <v>45877</v>
      </c>
      <c r="D194" t="inlineStr">
        <is>
          <t>BLEKINGE LÄN</t>
        </is>
      </c>
      <c r="E194" t="inlineStr">
        <is>
          <t>RONNEBY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420-2020</t>
        </is>
      </c>
      <c r="B195" s="1" t="n">
        <v>43837</v>
      </c>
      <c r="C195" s="1" t="n">
        <v>45877</v>
      </c>
      <c r="D195" t="inlineStr">
        <is>
          <t>BLEKINGE LÄN</t>
        </is>
      </c>
      <c r="E195" t="inlineStr">
        <is>
          <t>RONNEBY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780-2020</t>
        </is>
      </c>
      <c r="B196" s="1" t="n">
        <v>43838</v>
      </c>
      <c r="C196" s="1" t="n">
        <v>45877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2453-2020</t>
        </is>
      </c>
      <c r="B197" s="1" t="n">
        <v>43847</v>
      </c>
      <c r="C197" s="1" t="n">
        <v>45877</v>
      </c>
      <c r="D197" t="inlineStr">
        <is>
          <t>BLEKINGE LÄN</t>
        </is>
      </c>
      <c r="E197" t="inlineStr">
        <is>
          <t>RONNEBY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2982-2020</t>
        </is>
      </c>
      <c r="B198" s="1" t="n">
        <v>43850</v>
      </c>
      <c r="C198" s="1" t="n">
        <v>45877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3551-2020</t>
        </is>
      </c>
      <c r="B199" s="1" t="n">
        <v>43852</v>
      </c>
      <c r="C199" s="1" t="n">
        <v>45877</v>
      </c>
      <c r="D199" t="inlineStr">
        <is>
          <t>BLEKINGE LÄN</t>
        </is>
      </c>
      <c r="E199" t="inlineStr">
        <is>
          <t>RONNEBY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3469-2020</t>
        </is>
      </c>
      <c r="B200" s="1" t="n">
        <v>43852</v>
      </c>
      <c r="C200" s="1" t="n">
        <v>45877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3698-2020</t>
        </is>
      </c>
      <c r="B201" s="1" t="n">
        <v>43853</v>
      </c>
      <c r="C201" s="1" t="n">
        <v>45877</v>
      </c>
      <c r="D201" t="inlineStr">
        <is>
          <t>BLEKINGE LÄN</t>
        </is>
      </c>
      <c r="E201" t="inlineStr">
        <is>
          <t>RONNEBY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3727-2020</t>
        </is>
      </c>
      <c r="B202" s="1" t="n">
        <v>43853</v>
      </c>
      <c r="C202" s="1" t="n">
        <v>45877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3768-2020</t>
        </is>
      </c>
      <c r="B203" s="1" t="n">
        <v>43854</v>
      </c>
      <c r="C203" s="1" t="n">
        <v>45877</v>
      </c>
      <c r="D203" t="inlineStr">
        <is>
          <t>BLEKINGE LÄN</t>
        </is>
      </c>
      <c r="E203" t="inlineStr">
        <is>
          <t>RONNEBY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3764-2020</t>
        </is>
      </c>
      <c r="B204" s="1" t="n">
        <v>43854</v>
      </c>
      <c r="C204" s="1" t="n">
        <v>45877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5479-2020</t>
        </is>
      </c>
      <c r="B205" s="1" t="n">
        <v>43858</v>
      </c>
      <c r="C205" s="1" t="n">
        <v>45877</v>
      </c>
      <c r="D205" t="inlineStr">
        <is>
          <t>BLEKINGE LÄN</t>
        </is>
      </c>
      <c r="E205" t="inlineStr">
        <is>
          <t>RONNEBY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5393-2020</t>
        </is>
      </c>
      <c r="B206" s="1" t="n">
        <v>43860</v>
      </c>
      <c r="C206" s="1" t="n">
        <v>45877</v>
      </c>
      <c r="D206" t="inlineStr">
        <is>
          <t>BLEKINGE LÄN</t>
        </is>
      </c>
      <c r="E206" t="inlineStr">
        <is>
          <t>RONNEBY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8160-2020</t>
        </is>
      </c>
      <c r="B207" s="1" t="n">
        <v>43874</v>
      </c>
      <c r="C207" s="1" t="n">
        <v>45877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8930-2020</t>
        </is>
      </c>
      <c r="B208" s="1" t="n">
        <v>43878</v>
      </c>
      <c r="C208" s="1" t="n">
        <v>45877</v>
      </c>
      <c r="D208" t="inlineStr">
        <is>
          <t>BLEKINGE LÄN</t>
        </is>
      </c>
      <c r="E208" t="inlineStr">
        <is>
          <t>RONNEBY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8931-2020</t>
        </is>
      </c>
      <c r="B209" s="1" t="n">
        <v>43878</v>
      </c>
      <c r="C209" s="1" t="n">
        <v>45877</v>
      </c>
      <c r="D209" t="inlineStr">
        <is>
          <t>BLEKINGE LÄN</t>
        </is>
      </c>
      <c r="E209" t="inlineStr">
        <is>
          <t>RONNEBY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9343-2020</t>
        </is>
      </c>
      <c r="B210" s="1" t="n">
        <v>43880</v>
      </c>
      <c r="C210" s="1" t="n">
        <v>45877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9668-2020</t>
        </is>
      </c>
      <c r="B211" s="1" t="n">
        <v>43881</v>
      </c>
      <c r="C211" s="1" t="n">
        <v>45877</v>
      </c>
      <c r="D211" t="inlineStr">
        <is>
          <t>BLEKINGE LÄN</t>
        </is>
      </c>
      <c r="E211" t="inlineStr">
        <is>
          <t>RONNEBY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11122-2020</t>
        </is>
      </c>
      <c r="B212" s="1" t="n">
        <v>43889</v>
      </c>
      <c r="C212" s="1" t="n">
        <v>45877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12070-2020</t>
        </is>
      </c>
      <c r="B213" s="1" t="n">
        <v>43895</v>
      </c>
      <c r="C213" s="1" t="n">
        <v>45877</v>
      </c>
      <c r="D213" t="inlineStr">
        <is>
          <t>BLEKINGE LÄN</t>
        </is>
      </c>
      <c r="E213" t="inlineStr">
        <is>
          <t>RONNEBY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13726-2020</t>
        </is>
      </c>
      <c r="B214" s="1" t="n">
        <v>43903</v>
      </c>
      <c r="C214" s="1" t="n">
        <v>45877</v>
      </c>
      <c r="D214" t="inlineStr">
        <is>
          <t>BLEKINGE LÄN</t>
        </is>
      </c>
      <c r="E214" t="inlineStr">
        <is>
          <t>RONNEBY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13841-2020</t>
        </is>
      </c>
      <c r="B215" s="1" t="n">
        <v>43906</v>
      </c>
      <c r="C215" s="1" t="n">
        <v>45877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14848-2020</t>
        </is>
      </c>
      <c r="B216" s="1" t="n">
        <v>43909</v>
      </c>
      <c r="C216" s="1" t="n">
        <v>45877</v>
      </c>
      <c r="D216" t="inlineStr">
        <is>
          <t>BLEKINGE LÄN</t>
        </is>
      </c>
      <c r="E216" t="inlineStr">
        <is>
          <t>RONNEBY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15580-2020</t>
        </is>
      </c>
      <c r="B217" s="1" t="n">
        <v>43914</v>
      </c>
      <c r="C217" s="1" t="n">
        <v>45877</v>
      </c>
      <c r="D217" t="inlineStr">
        <is>
          <t>BLEKINGE LÄN</t>
        </is>
      </c>
      <c r="E217" t="inlineStr">
        <is>
          <t>RONNEBY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15582-2020</t>
        </is>
      </c>
      <c r="B218" s="1" t="n">
        <v>43914</v>
      </c>
      <c r="C218" s="1" t="n">
        <v>45877</v>
      </c>
      <c r="D218" t="inlineStr">
        <is>
          <t>BLEKINGE LÄN</t>
        </is>
      </c>
      <c r="E218" t="inlineStr">
        <is>
          <t>RONNEBY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15963-2020</t>
        </is>
      </c>
      <c r="B219" s="1" t="n">
        <v>43915</v>
      </c>
      <c r="C219" s="1" t="n">
        <v>45877</v>
      </c>
      <c r="D219" t="inlineStr">
        <is>
          <t>BLEKINGE LÄN</t>
        </is>
      </c>
      <c r="E219" t="inlineStr">
        <is>
          <t>RONNEBY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18495-2020</t>
        </is>
      </c>
      <c r="B220" s="1" t="n">
        <v>43929</v>
      </c>
      <c r="C220" s="1" t="n">
        <v>45877</v>
      </c>
      <c r="D220" t="inlineStr">
        <is>
          <t>BLEKINGE LÄN</t>
        </is>
      </c>
      <c r="E220" t="inlineStr">
        <is>
          <t>RONNEBY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18777-2020</t>
        </is>
      </c>
      <c r="B221" s="1" t="n">
        <v>43930</v>
      </c>
      <c r="C221" s="1" t="n">
        <v>45877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19402-2020</t>
        </is>
      </c>
      <c r="B222" s="1" t="n">
        <v>43938</v>
      </c>
      <c r="C222" s="1" t="n">
        <v>45877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20963-2020</t>
        </is>
      </c>
      <c r="B223" s="1" t="n">
        <v>43950</v>
      </c>
      <c r="C223" s="1" t="n">
        <v>45877</v>
      </c>
      <c r="D223" t="inlineStr">
        <is>
          <t>BLEKINGE LÄN</t>
        </is>
      </c>
      <c r="E223" t="inlineStr">
        <is>
          <t>RONNEBY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22680-2020</t>
        </is>
      </c>
      <c r="B224" s="1" t="n">
        <v>43963</v>
      </c>
      <c r="C224" s="1" t="n">
        <v>45877</v>
      </c>
      <c r="D224" t="inlineStr">
        <is>
          <t>BLEKINGE LÄN</t>
        </is>
      </c>
      <c r="E224" t="inlineStr">
        <is>
          <t>RONNEBY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23481-2020</t>
        </is>
      </c>
      <c r="B225" s="1" t="n">
        <v>43969</v>
      </c>
      <c r="C225" s="1" t="n">
        <v>45877</v>
      </c>
      <c r="D225" t="inlineStr">
        <is>
          <t>BLEKINGE LÄN</t>
        </is>
      </c>
      <c r="E225" t="inlineStr">
        <is>
          <t>RONNEBY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24949-2020</t>
        </is>
      </c>
      <c r="B226" s="1" t="n">
        <v>43979</v>
      </c>
      <c r="C226" s="1" t="n">
        <v>45877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25693-2020</t>
        </is>
      </c>
      <c r="B227" s="1" t="n">
        <v>43984</v>
      </c>
      <c r="C227" s="1" t="n">
        <v>45877</v>
      </c>
      <c r="D227" t="inlineStr">
        <is>
          <t>BLEKINGE LÄN</t>
        </is>
      </c>
      <c r="E227" t="inlineStr">
        <is>
          <t>RONNEBY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27396-2020</t>
        </is>
      </c>
      <c r="B228" s="1" t="n">
        <v>43992</v>
      </c>
      <c r="C228" s="1" t="n">
        <v>45877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27397-2020</t>
        </is>
      </c>
      <c r="B229" s="1" t="n">
        <v>43992</v>
      </c>
      <c r="C229" s="1" t="n">
        <v>45877</v>
      </c>
      <c r="D229" t="inlineStr">
        <is>
          <t>BLEKINGE LÄN</t>
        </is>
      </c>
      <c r="E229" t="inlineStr">
        <is>
          <t>RONNEBY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27317-2020</t>
        </is>
      </c>
      <c r="B230" s="1" t="n">
        <v>43992</v>
      </c>
      <c r="C230" s="1" t="n">
        <v>45877</v>
      </c>
      <c r="D230" t="inlineStr">
        <is>
          <t>BLEKINGE LÄN</t>
        </is>
      </c>
      <c r="E230" t="inlineStr">
        <is>
          <t>RONNEBY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29160-2020</t>
        </is>
      </c>
      <c r="B231" s="1" t="n">
        <v>44004</v>
      </c>
      <c r="C231" s="1" t="n">
        <v>45877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29658-2020</t>
        </is>
      </c>
      <c r="B232" s="1" t="n">
        <v>44005</v>
      </c>
      <c r="C232" s="1" t="n">
        <v>45877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29894-2020</t>
        </is>
      </c>
      <c r="B233" s="1" t="n">
        <v>44005</v>
      </c>
      <c r="C233" s="1" t="n">
        <v>45877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30188-2020</t>
        </is>
      </c>
      <c r="B234" s="1" t="n">
        <v>44007</v>
      </c>
      <c r="C234" s="1" t="n">
        <v>45877</v>
      </c>
      <c r="D234" t="inlineStr">
        <is>
          <t>BLEKINGE LÄN</t>
        </is>
      </c>
      <c r="E234" t="inlineStr">
        <is>
          <t>RONNEBY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32690-2020</t>
        </is>
      </c>
      <c r="B235" s="1" t="n">
        <v>44019</v>
      </c>
      <c r="C235" s="1" t="n">
        <v>45877</v>
      </c>
      <c r="D235" t="inlineStr">
        <is>
          <t>BLEKINGE LÄN</t>
        </is>
      </c>
      <c r="E235" t="inlineStr">
        <is>
          <t>RONNEBY</t>
        </is>
      </c>
      <c r="G235" t="n">
        <v>43.9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33523-2020</t>
        </is>
      </c>
      <c r="B236" s="1" t="n">
        <v>44025</v>
      </c>
      <c r="C236" s="1" t="n">
        <v>45877</v>
      </c>
      <c r="D236" t="inlineStr">
        <is>
          <t>BLEKINGE LÄN</t>
        </is>
      </c>
      <c r="E236" t="inlineStr">
        <is>
          <t>RONNEBY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33577-2020</t>
        </is>
      </c>
      <c r="B237" s="1" t="n">
        <v>44025</v>
      </c>
      <c r="C237" s="1" t="n">
        <v>45877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34051-2020</t>
        </is>
      </c>
      <c r="B238" s="1" t="n">
        <v>44027</v>
      </c>
      <c r="C238" s="1" t="n">
        <v>45877</v>
      </c>
      <c r="D238" t="inlineStr">
        <is>
          <t>BLEKINGE LÄN</t>
        </is>
      </c>
      <c r="E238" t="inlineStr">
        <is>
          <t>RONNEBY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34058-2020</t>
        </is>
      </c>
      <c r="B239" s="1" t="n">
        <v>44027</v>
      </c>
      <c r="C239" s="1" t="n">
        <v>45877</v>
      </c>
      <c r="D239" t="inlineStr">
        <is>
          <t>BLEKINGE LÄN</t>
        </is>
      </c>
      <c r="E239" t="inlineStr">
        <is>
          <t>RONNEBY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34059-2020</t>
        </is>
      </c>
      <c r="B240" s="1" t="n">
        <v>44027</v>
      </c>
      <c r="C240" s="1" t="n">
        <v>45877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34046-2020</t>
        </is>
      </c>
      <c r="B241" s="1" t="n">
        <v>44027</v>
      </c>
      <c r="C241" s="1" t="n">
        <v>45877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34451-2020</t>
        </is>
      </c>
      <c r="B242" s="1" t="n">
        <v>44029</v>
      </c>
      <c r="C242" s="1" t="n">
        <v>45877</v>
      </c>
      <c r="D242" t="inlineStr">
        <is>
          <t>BLEKINGE LÄN</t>
        </is>
      </c>
      <c r="E242" t="inlineStr">
        <is>
          <t>RONNEBY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34353-2020</t>
        </is>
      </c>
      <c r="B243" s="1" t="n">
        <v>44032</v>
      </c>
      <c r="C243" s="1" t="n">
        <v>45877</v>
      </c>
      <c r="D243" t="inlineStr">
        <is>
          <t>BLEKINGE LÄN</t>
        </is>
      </c>
      <c r="E243" t="inlineStr">
        <is>
          <t>RONNEBY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34547-2020</t>
        </is>
      </c>
      <c r="B244" s="1" t="n">
        <v>44032</v>
      </c>
      <c r="C244" s="1" t="n">
        <v>45877</v>
      </c>
      <c r="D244" t="inlineStr">
        <is>
          <t>BLEKINGE LÄN</t>
        </is>
      </c>
      <c r="E244" t="inlineStr">
        <is>
          <t>RONNEBY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34383-2020</t>
        </is>
      </c>
      <c r="B245" s="1" t="n">
        <v>44032</v>
      </c>
      <c r="C245" s="1" t="n">
        <v>45877</v>
      </c>
      <c r="D245" t="inlineStr">
        <is>
          <t>BLEKINGE LÄN</t>
        </is>
      </c>
      <c r="E245" t="inlineStr">
        <is>
          <t>RONNEBY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34712-2020</t>
        </is>
      </c>
      <c r="B246" s="1" t="n">
        <v>44035</v>
      </c>
      <c r="C246" s="1" t="n">
        <v>45877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35846-2020</t>
        </is>
      </c>
      <c r="B247" s="1" t="n">
        <v>44047</v>
      </c>
      <c r="C247" s="1" t="n">
        <v>45877</v>
      </c>
      <c r="D247" t="inlineStr">
        <is>
          <t>BLEKINGE LÄN</t>
        </is>
      </c>
      <c r="E247" t="inlineStr">
        <is>
          <t>RONNEBY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36584-2020</t>
        </is>
      </c>
      <c r="B248" s="1" t="n">
        <v>44050</v>
      </c>
      <c r="C248" s="1" t="n">
        <v>45877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37287-2020</t>
        </is>
      </c>
      <c r="B249" s="1" t="n">
        <v>44055</v>
      </c>
      <c r="C249" s="1" t="n">
        <v>45877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37401-2020</t>
        </is>
      </c>
      <c r="B250" s="1" t="n">
        <v>44055</v>
      </c>
      <c r="C250" s="1" t="n">
        <v>45877</v>
      </c>
      <c r="D250" t="inlineStr">
        <is>
          <t>BLEKINGE LÄN</t>
        </is>
      </c>
      <c r="E250" t="inlineStr">
        <is>
          <t>RONNEBY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38365-2020</t>
        </is>
      </c>
      <c r="B251" s="1" t="n">
        <v>44060</v>
      </c>
      <c r="C251" s="1" t="n">
        <v>45877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38578-2020</t>
        </is>
      </c>
      <c r="B252" s="1" t="n">
        <v>44061</v>
      </c>
      <c r="C252" s="1" t="n">
        <v>45877</v>
      </c>
      <c r="D252" t="inlineStr">
        <is>
          <t>BLEKINGE LÄN</t>
        </is>
      </c>
      <c r="E252" t="inlineStr">
        <is>
          <t>RONNEBY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39168-2020</t>
        </is>
      </c>
      <c r="B253" s="1" t="n">
        <v>44063</v>
      </c>
      <c r="C253" s="1" t="n">
        <v>45877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40089-2020</t>
        </is>
      </c>
      <c r="B254" s="1" t="n">
        <v>44068</v>
      </c>
      <c r="C254" s="1" t="n">
        <v>45877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40961-2020</t>
        </is>
      </c>
      <c r="B255" s="1" t="n">
        <v>44070</v>
      </c>
      <c r="C255" s="1" t="n">
        <v>45877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40972-2020</t>
        </is>
      </c>
      <c r="B256" s="1" t="n">
        <v>44070</v>
      </c>
      <c r="C256" s="1" t="n">
        <v>45877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40964-2020</t>
        </is>
      </c>
      <c r="B257" s="1" t="n">
        <v>44070</v>
      </c>
      <c r="C257" s="1" t="n">
        <v>45877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40967-2020</t>
        </is>
      </c>
      <c r="B258" s="1" t="n">
        <v>44070</v>
      </c>
      <c r="C258" s="1" t="n">
        <v>45877</v>
      </c>
      <c r="D258" t="inlineStr">
        <is>
          <t>BLEKINGE LÄN</t>
        </is>
      </c>
      <c r="E258" t="inlineStr">
        <is>
          <t>RONNEBY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42082-2020</t>
        </is>
      </c>
      <c r="B259" s="1" t="n">
        <v>44074</v>
      </c>
      <c r="C259" s="1" t="n">
        <v>45877</v>
      </c>
      <c r="D259" t="inlineStr">
        <is>
          <t>BLEKINGE LÄN</t>
        </is>
      </c>
      <c r="E259" t="inlineStr">
        <is>
          <t>RONNEBY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42167-2020</t>
        </is>
      </c>
      <c r="B260" s="1" t="n">
        <v>44075</v>
      </c>
      <c r="C260" s="1" t="n">
        <v>45877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42460-2020</t>
        </is>
      </c>
      <c r="B261" s="1" t="n">
        <v>44076</v>
      </c>
      <c r="C261" s="1" t="n">
        <v>45877</v>
      </c>
      <c r="D261" t="inlineStr">
        <is>
          <t>BLEKINGE LÄN</t>
        </is>
      </c>
      <c r="E261" t="inlineStr">
        <is>
          <t>RONNEBY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43274-2020</t>
        </is>
      </c>
      <c r="B262" s="1" t="n">
        <v>44077</v>
      </c>
      <c r="C262" s="1" t="n">
        <v>45877</v>
      </c>
      <c r="D262" t="inlineStr">
        <is>
          <t>BLEKINGE LÄN</t>
        </is>
      </c>
      <c r="E262" t="inlineStr">
        <is>
          <t>RONNEBY</t>
        </is>
      </c>
      <c r="G262" t="n">
        <v>17.4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43319-2020</t>
        </is>
      </c>
      <c r="B263" s="1" t="n">
        <v>44077</v>
      </c>
      <c r="C263" s="1" t="n">
        <v>45877</v>
      </c>
      <c r="D263" t="inlineStr">
        <is>
          <t>BLEKINGE LÄN</t>
        </is>
      </c>
      <c r="E263" t="inlineStr">
        <is>
          <t>RONNEBY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43036-2020</t>
        </is>
      </c>
      <c r="B264" s="1" t="n">
        <v>44078</v>
      </c>
      <c r="C264" s="1" t="n">
        <v>45877</v>
      </c>
      <c r="D264" t="inlineStr">
        <is>
          <t>BLEKINGE LÄN</t>
        </is>
      </c>
      <c r="E264" t="inlineStr">
        <is>
          <t>RONNEBY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44495-2020</t>
        </is>
      </c>
      <c r="B265" s="1" t="n">
        <v>44084</v>
      </c>
      <c r="C265" s="1" t="n">
        <v>45877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44978-2020</t>
        </is>
      </c>
      <c r="B266" s="1" t="n">
        <v>44088</v>
      </c>
      <c r="C266" s="1" t="n">
        <v>45877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45252-2020</t>
        </is>
      </c>
      <c r="B267" s="1" t="n">
        <v>44088</v>
      </c>
      <c r="C267" s="1" t="n">
        <v>45877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45535-2020</t>
        </is>
      </c>
      <c r="B268" s="1" t="n">
        <v>44089</v>
      </c>
      <c r="C268" s="1" t="n">
        <v>45877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46437-2020</t>
        </is>
      </c>
      <c r="B269" s="1" t="n">
        <v>44095</v>
      </c>
      <c r="C269" s="1" t="n">
        <v>45877</v>
      </c>
      <c r="D269" t="inlineStr">
        <is>
          <t>BLEKINGE LÄN</t>
        </is>
      </c>
      <c r="E269" t="inlineStr">
        <is>
          <t>RONNEBY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47119-2020</t>
        </is>
      </c>
      <c r="B270" s="1" t="n">
        <v>44096</v>
      </c>
      <c r="C270" s="1" t="n">
        <v>45877</v>
      </c>
      <c r="D270" t="inlineStr">
        <is>
          <t>BLEKINGE LÄN</t>
        </is>
      </c>
      <c r="E270" t="inlineStr">
        <is>
          <t>RONNEBY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48208-2020</t>
        </is>
      </c>
      <c r="B271" s="1" t="n">
        <v>44102</v>
      </c>
      <c r="C271" s="1" t="n">
        <v>45877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48453-2020</t>
        </is>
      </c>
      <c r="B272" s="1" t="n">
        <v>44102</v>
      </c>
      <c r="C272" s="1" t="n">
        <v>45877</v>
      </c>
      <c r="D272" t="inlineStr">
        <is>
          <t>BLEKINGE LÄN</t>
        </is>
      </c>
      <c r="E272" t="inlineStr">
        <is>
          <t>RONNEBY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48487-2020</t>
        </is>
      </c>
      <c r="B273" s="1" t="n">
        <v>44103</v>
      </c>
      <c r="C273" s="1" t="n">
        <v>45877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49121-2020</t>
        </is>
      </c>
      <c r="B274" s="1" t="n">
        <v>44104</v>
      </c>
      <c r="C274" s="1" t="n">
        <v>45877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49134-2020</t>
        </is>
      </c>
      <c r="B275" s="1" t="n">
        <v>44104</v>
      </c>
      <c r="C275" s="1" t="n">
        <v>45877</v>
      </c>
      <c r="D275" t="inlineStr">
        <is>
          <t>BLEKINGE LÄN</t>
        </is>
      </c>
      <c r="E275" t="inlineStr">
        <is>
          <t>RONNEBY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49141-2020</t>
        </is>
      </c>
      <c r="B276" s="1" t="n">
        <v>44104</v>
      </c>
      <c r="C276" s="1" t="n">
        <v>45877</v>
      </c>
      <c r="D276" t="inlineStr">
        <is>
          <t>BLEKINGE LÄN</t>
        </is>
      </c>
      <c r="E276" t="inlineStr">
        <is>
          <t>RONNEBY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49016-2020</t>
        </is>
      </c>
      <c r="B277" s="1" t="n">
        <v>44104</v>
      </c>
      <c r="C277" s="1" t="n">
        <v>45877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51452-2020</t>
        </is>
      </c>
      <c r="B278" s="1" t="n">
        <v>44106</v>
      </c>
      <c r="C278" s="1" t="n">
        <v>45877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51419-2020</t>
        </is>
      </c>
      <c r="B279" s="1" t="n">
        <v>44106</v>
      </c>
      <c r="C279" s="1" t="n">
        <v>45877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51422-2020</t>
        </is>
      </c>
      <c r="B280" s="1" t="n">
        <v>44106</v>
      </c>
      <c r="C280" s="1" t="n">
        <v>45877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51504-2020</t>
        </is>
      </c>
      <c r="B281" s="1" t="n">
        <v>44113</v>
      </c>
      <c r="C281" s="1" t="n">
        <v>45877</v>
      </c>
      <c r="D281" t="inlineStr">
        <is>
          <t>BLEKINGE LÄN</t>
        </is>
      </c>
      <c r="E281" t="inlineStr">
        <is>
          <t>RONNEBY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52309-2020</t>
        </is>
      </c>
      <c r="B282" s="1" t="n">
        <v>44117</v>
      </c>
      <c r="C282" s="1" t="n">
        <v>45877</v>
      </c>
      <c r="D282" t="inlineStr">
        <is>
          <t>BLEKINGE LÄN</t>
        </is>
      </c>
      <c r="E282" t="inlineStr">
        <is>
          <t>RONNEBY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52825-2020</t>
        </is>
      </c>
      <c r="B283" s="1" t="n">
        <v>44119</v>
      </c>
      <c r="C283" s="1" t="n">
        <v>45877</v>
      </c>
      <c r="D283" t="inlineStr">
        <is>
          <t>BLEKINGE LÄN</t>
        </is>
      </c>
      <c r="E283" t="inlineStr">
        <is>
          <t>RONNEBY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52816-2020</t>
        </is>
      </c>
      <c r="B284" s="1" t="n">
        <v>44119</v>
      </c>
      <c r="C284" s="1" t="n">
        <v>45877</v>
      </c>
      <c r="D284" t="inlineStr">
        <is>
          <t>BLEKINGE LÄN</t>
        </is>
      </c>
      <c r="E284" t="inlineStr">
        <is>
          <t>RONNEBY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53116-2020</t>
        </is>
      </c>
      <c r="B285" s="1" t="n">
        <v>44120</v>
      </c>
      <c r="C285" s="1" t="n">
        <v>45877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53825-2020</t>
        </is>
      </c>
      <c r="B286" s="1" t="n">
        <v>44124</v>
      </c>
      <c r="C286" s="1" t="n">
        <v>45877</v>
      </c>
      <c r="D286" t="inlineStr">
        <is>
          <t>BLEKINGE LÄN</t>
        </is>
      </c>
      <c r="E286" t="inlineStr">
        <is>
          <t>RONNEBY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54998-2020</t>
        </is>
      </c>
      <c r="B287" s="1" t="n">
        <v>44127</v>
      </c>
      <c r="C287" s="1" t="n">
        <v>45877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55001-2020</t>
        </is>
      </c>
      <c r="B288" s="1" t="n">
        <v>44127</v>
      </c>
      <c r="C288" s="1" t="n">
        <v>45877</v>
      </c>
      <c r="D288" t="inlineStr">
        <is>
          <t>BLEKINGE LÄN</t>
        </is>
      </c>
      <c r="E288" t="inlineStr">
        <is>
          <t>RONNEBY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54995-2020</t>
        </is>
      </c>
      <c r="B289" s="1" t="n">
        <v>44127</v>
      </c>
      <c r="C289" s="1" t="n">
        <v>45877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55711-2020</t>
        </is>
      </c>
      <c r="B290" s="1" t="n">
        <v>44131</v>
      </c>
      <c r="C290" s="1" t="n">
        <v>45877</v>
      </c>
      <c r="D290" t="inlineStr">
        <is>
          <t>BLEKINGE LÄN</t>
        </is>
      </c>
      <c r="E290" t="inlineStr">
        <is>
          <t>RONNEBY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56634-2020</t>
        </is>
      </c>
      <c r="B291" s="1" t="n">
        <v>44137</v>
      </c>
      <c r="C291" s="1" t="n">
        <v>45877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56619-2020</t>
        </is>
      </c>
      <c r="B292" s="1" t="n">
        <v>44137</v>
      </c>
      <c r="C292" s="1" t="n">
        <v>45877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57109-2020</t>
        </is>
      </c>
      <c r="B293" s="1" t="n">
        <v>44138</v>
      </c>
      <c r="C293" s="1" t="n">
        <v>45877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57045-2020</t>
        </is>
      </c>
      <c r="B294" s="1" t="n">
        <v>44138</v>
      </c>
      <c r="C294" s="1" t="n">
        <v>45877</v>
      </c>
      <c r="D294" t="inlineStr">
        <is>
          <t>BLEKINGE LÄN</t>
        </is>
      </c>
      <c r="E294" t="inlineStr">
        <is>
          <t>RONNEBY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57369-2020</t>
        </is>
      </c>
      <c r="B295" s="1" t="n">
        <v>44139</v>
      </c>
      <c r="C295" s="1" t="n">
        <v>45877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57368-2020</t>
        </is>
      </c>
      <c r="B296" s="1" t="n">
        <v>44139</v>
      </c>
      <c r="C296" s="1" t="n">
        <v>45877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59318-2020</t>
        </is>
      </c>
      <c r="B297" s="1" t="n">
        <v>44147</v>
      </c>
      <c r="C297" s="1" t="n">
        <v>45877</v>
      </c>
      <c r="D297" t="inlineStr">
        <is>
          <t>BLEKINGE LÄN</t>
        </is>
      </c>
      <c r="E297" t="inlineStr">
        <is>
          <t>RONNEBY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59306-2020</t>
        </is>
      </c>
      <c r="B298" s="1" t="n">
        <v>44147</v>
      </c>
      <c r="C298" s="1" t="n">
        <v>45877</v>
      </c>
      <c r="D298" t="inlineStr">
        <is>
          <t>BLEKINGE LÄN</t>
        </is>
      </c>
      <c r="E298" t="inlineStr">
        <is>
          <t>RONNEBY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60334-2020</t>
        </is>
      </c>
      <c r="B299" s="1" t="n">
        <v>44152</v>
      </c>
      <c r="C299" s="1" t="n">
        <v>45877</v>
      </c>
      <c r="D299" t="inlineStr">
        <is>
          <t>BLEKINGE LÄN</t>
        </is>
      </c>
      <c r="E299" t="inlineStr">
        <is>
          <t>RONNEBY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60816-2020</t>
        </is>
      </c>
      <c r="B300" s="1" t="n">
        <v>44154</v>
      </c>
      <c r="C300" s="1" t="n">
        <v>45877</v>
      </c>
      <c r="D300" t="inlineStr">
        <is>
          <t>BLEKINGE LÄN</t>
        </is>
      </c>
      <c r="E300" t="inlineStr">
        <is>
          <t>RONNEBY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62164-2020</t>
        </is>
      </c>
      <c r="B301" s="1" t="n">
        <v>44158</v>
      </c>
      <c r="C301" s="1" t="n">
        <v>45877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62222-2020</t>
        </is>
      </c>
      <c r="B302" s="1" t="n">
        <v>44159</v>
      </c>
      <c r="C302" s="1" t="n">
        <v>45877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62223-2020</t>
        </is>
      </c>
      <c r="B303" s="1" t="n">
        <v>44159</v>
      </c>
      <c r="C303" s="1" t="n">
        <v>45877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67382-2020</t>
        </is>
      </c>
      <c r="B304" s="1" t="n">
        <v>44181</v>
      </c>
      <c r="C304" s="1" t="n">
        <v>45877</v>
      </c>
      <c r="D304" t="inlineStr">
        <is>
          <t>BLEKINGE LÄN</t>
        </is>
      </c>
      <c r="E304" t="inlineStr">
        <is>
          <t>RONNEBY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68762-2020</t>
        </is>
      </c>
      <c r="B305" s="1" t="n">
        <v>44187</v>
      </c>
      <c r="C305" s="1" t="n">
        <v>45877</v>
      </c>
      <c r="D305" t="inlineStr">
        <is>
          <t>BLEKINGE LÄN</t>
        </is>
      </c>
      <c r="E305" t="inlineStr">
        <is>
          <t>RONNEBY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481-2021</t>
        </is>
      </c>
      <c r="B306" s="1" t="n">
        <v>44203</v>
      </c>
      <c r="C306" s="1" t="n">
        <v>45877</v>
      </c>
      <c r="D306" t="inlineStr">
        <is>
          <t>BLEKINGE LÄN</t>
        </is>
      </c>
      <c r="E306" t="inlineStr">
        <is>
          <t>RONNEBY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513-2021</t>
        </is>
      </c>
      <c r="B307" s="1" t="n">
        <v>44203</v>
      </c>
      <c r="C307" s="1" t="n">
        <v>45877</v>
      </c>
      <c r="D307" t="inlineStr">
        <is>
          <t>BLEKINGE LÄN</t>
        </is>
      </c>
      <c r="E307" t="inlineStr">
        <is>
          <t>RONNEBY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898-2021</t>
        </is>
      </c>
      <c r="B308" s="1" t="n">
        <v>44206</v>
      </c>
      <c r="C308" s="1" t="n">
        <v>45877</v>
      </c>
      <c r="D308" t="inlineStr">
        <is>
          <t>BLEKINGE LÄN</t>
        </is>
      </c>
      <c r="E308" t="inlineStr">
        <is>
          <t>RONNEBY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1004-2021</t>
        </is>
      </c>
      <c r="B309" s="1" t="n">
        <v>44207</v>
      </c>
      <c r="C309" s="1" t="n">
        <v>45877</v>
      </c>
      <c r="D309" t="inlineStr">
        <is>
          <t>BLEKINGE LÄN</t>
        </is>
      </c>
      <c r="E309" t="inlineStr">
        <is>
          <t>RONNEBY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1839-2021</t>
        </is>
      </c>
      <c r="B310" s="1" t="n">
        <v>44209</v>
      </c>
      <c r="C310" s="1" t="n">
        <v>45877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2722-2021</t>
        </is>
      </c>
      <c r="B311" s="1" t="n">
        <v>44215</v>
      </c>
      <c r="C311" s="1" t="n">
        <v>45877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2703-2021</t>
        </is>
      </c>
      <c r="B312" s="1" t="n">
        <v>44215</v>
      </c>
      <c r="C312" s="1" t="n">
        <v>45877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3021-2021</t>
        </is>
      </c>
      <c r="B313" s="1" t="n">
        <v>44216</v>
      </c>
      <c r="C313" s="1" t="n">
        <v>45877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2848-2021</t>
        </is>
      </c>
      <c r="B314" s="1" t="n">
        <v>44216</v>
      </c>
      <c r="C314" s="1" t="n">
        <v>45877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3413-2021</t>
        </is>
      </c>
      <c r="B315" s="1" t="n">
        <v>44218</v>
      </c>
      <c r="C315" s="1" t="n">
        <v>45877</v>
      </c>
      <c r="D315" t="inlineStr">
        <is>
          <t>BLEKINGE LÄN</t>
        </is>
      </c>
      <c r="E315" t="inlineStr">
        <is>
          <t>RONNEBY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4029-2021</t>
        </is>
      </c>
      <c r="B316" s="1" t="n">
        <v>44218</v>
      </c>
      <c r="C316" s="1" t="n">
        <v>45877</v>
      </c>
      <c r="D316" t="inlineStr">
        <is>
          <t>BLEKINGE LÄN</t>
        </is>
      </c>
      <c r="E316" t="inlineStr">
        <is>
          <t>RONNEBY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4098-2021</t>
        </is>
      </c>
      <c r="B317" s="1" t="n">
        <v>44222</v>
      </c>
      <c r="C317" s="1" t="n">
        <v>45877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6136-2021</t>
        </is>
      </c>
      <c r="B318" s="1" t="n">
        <v>44232</v>
      </c>
      <c r="C318" s="1" t="n">
        <v>45877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6510-2021</t>
        </is>
      </c>
      <c r="B319" s="1" t="n">
        <v>44236</v>
      </c>
      <c r="C319" s="1" t="n">
        <v>45877</v>
      </c>
      <c r="D319" t="inlineStr">
        <is>
          <t>BLEKINGE LÄN</t>
        </is>
      </c>
      <c r="E319" t="inlineStr">
        <is>
          <t>RONNEBY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7093-2021</t>
        </is>
      </c>
      <c r="B320" s="1" t="n">
        <v>44238</v>
      </c>
      <c r="C320" s="1" t="n">
        <v>45877</v>
      </c>
      <c r="D320" t="inlineStr">
        <is>
          <t>BLEKINGE LÄN</t>
        </is>
      </c>
      <c r="E320" t="inlineStr">
        <is>
          <t>RONNEBY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7200-2021</t>
        </is>
      </c>
      <c r="B321" s="1" t="n">
        <v>44238</v>
      </c>
      <c r="C321" s="1" t="n">
        <v>45877</v>
      </c>
      <c r="D321" t="inlineStr">
        <is>
          <t>BLEKINGE LÄN</t>
        </is>
      </c>
      <c r="E321" t="inlineStr">
        <is>
          <t>RONNEBY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7391-2021</t>
        </is>
      </c>
      <c r="B322" s="1" t="n">
        <v>44239</v>
      </c>
      <c r="C322" s="1" t="n">
        <v>45877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8380-2021</t>
        </is>
      </c>
      <c r="B323" s="1" t="n">
        <v>44245</v>
      </c>
      <c r="C323" s="1" t="n">
        <v>45877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8615-2021</t>
        </is>
      </c>
      <c r="B324" s="1" t="n">
        <v>44245</v>
      </c>
      <c r="C324" s="1" t="n">
        <v>45877</v>
      </c>
      <c r="D324" t="inlineStr">
        <is>
          <t>BLEKINGE LÄN</t>
        </is>
      </c>
      <c r="E324" t="inlineStr">
        <is>
          <t>RONNEBY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8699-2021</t>
        </is>
      </c>
      <c r="B325" s="1" t="n">
        <v>44246</v>
      </c>
      <c r="C325" s="1" t="n">
        <v>45877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9098-2021</t>
        </is>
      </c>
      <c r="B326" s="1" t="n">
        <v>44249</v>
      </c>
      <c r="C326" s="1" t="n">
        <v>45877</v>
      </c>
      <c r="D326" t="inlineStr">
        <is>
          <t>BLEKINGE LÄN</t>
        </is>
      </c>
      <c r="E326" t="inlineStr">
        <is>
          <t>RONNEBY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9881-2021</t>
        </is>
      </c>
      <c r="B327" s="1" t="n">
        <v>44253</v>
      </c>
      <c r="C327" s="1" t="n">
        <v>45877</v>
      </c>
      <c r="D327" t="inlineStr">
        <is>
          <t>BLEKINGE LÄN</t>
        </is>
      </c>
      <c r="E327" t="inlineStr">
        <is>
          <t>RONNEBY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10467-2021</t>
        </is>
      </c>
      <c r="B328" s="1" t="n">
        <v>44257</v>
      </c>
      <c r="C328" s="1" t="n">
        <v>45877</v>
      </c>
      <c r="D328" t="inlineStr">
        <is>
          <t>BLEKINGE LÄN</t>
        </is>
      </c>
      <c r="E328" t="inlineStr">
        <is>
          <t>RONNEBY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10567-2021</t>
        </is>
      </c>
      <c r="B329" s="1" t="n">
        <v>44257</v>
      </c>
      <c r="C329" s="1" t="n">
        <v>45877</v>
      </c>
      <c r="D329" t="inlineStr">
        <is>
          <t>BLEKINGE LÄN</t>
        </is>
      </c>
      <c r="E329" t="inlineStr">
        <is>
          <t>RONNEBY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10592-2021</t>
        </is>
      </c>
      <c r="B330" s="1" t="n">
        <v>44258</v>
      </c>
      <c r="C330" s="1" t="n">
        <v>45877</v>
      </c>
      <c r="D330" t="inlineStr">
        <is>
          <t>BLEKINGE LÄN</t>
        </is>
      </c>
      <c r="E330" t="inlineStr">
        <is>
          <t>RONNEBY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10593-2021</t>
        </is>
      </c>
      <c r="B331" s="1" t="n">
        <v>44258</v>
      </c>
      <c r="C331" s="1" t="n">
        <v>45877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11072-2021</t>
        </is>
      </c>
      <c r="B332" s="1" t="n">
        <v>44259</v>
      </c>
      <c r="C332" s="1" t="n">
        <v>45877</v>
      </c>
      <c r="D332" t="inlineStr">
        <is>
          <t>BLEKINGE LÄN</t>
        </is>
      </c>
      <c r="E332" t="inlineStr">
        <is>
          <t>RONNEBY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12878-2021</t>
        </is>
      </c>
      <c r="B333" s="1" t="n">
        <v>44271</v>
      </c>
      <c r="C333" s="1" t="n">
        <v>45877</v>
      </c>
      <c r="D333" t="inlineStr">
        <is>
          <t>BLEKINGE LÄN</t>
        </is>
      </c>
      <c r="E333" t="inlineStr">
        <is>
          <t>RONNEBY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13002-2021</t>
        </is>
      </c>
      <c r="B334" s="1" t="n">
        <v>44271</v>
      </c>
      <c r="C334" s="1" t="n">
        <v>45877</v>
      </c>
      <c r="D334" t="inlineStr">
        <is>
          <t>BLEKINGE LÄN</t>
        </is>
      </c>
      <c r="E334" t="inlineStr">
        <is>
          <t>RONNEBY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13417-2021</t>
        </is>
      </c>
      <c r="B335" s="1" t="n">
        <v>44273</v>
      </c>
      <c r="C335" s="1" t="n">
        <v>45877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14075-2021</t>
        </is>
      </c>
      <c r="B336" s="1" t="n">
        <v>44277</v>
      </c>
      <c r="C336" s="1" t="n">
        <v>45877</v>
      </c>
      <c r="D336" t="inlineStr">
        <is>
          <t>BLEKINGE LÄN</t>
        </is>
      </c>
      <c r="E336" t="inlineStr">
        <is>
          <t>RONNEBY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14223-2021</t>
        </is>
      </c>
      <c r="B337" s="1" t="n">
        <v>44278</v>
      </c>
      <c r="C337" s="1" t="n">
        <v>45877</v>
      </c>
      <c r="D337" t="inlineStr">
        <is>
          <t>BLEKINGE LÄN</t>
        </is>
      </c>
      <c r="E337" t="inlineStr">
        <is>
          <t>RONNEBY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14352-2021</t>
        </is>
      </c>
      <c r="B338" s="1" t="n">
        <v>44279</v>
      </c>
      <c r="C338" s="1" t="n">
        <v>45877</v>
      </c>
      <c r="D338" t="inlineStr">
        <is>
          <t>BLEKINGE LÄN</t>
        </is>
      </c>
      <c r="E338" t="inlineStr">
        <is>
          <t>RONNEBY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14579-2021</t>
        </is>
      </c>
      <c r="B339" s="1" t="n">
        <v>44279</v>
      </c>
      <c r="C339" s="1" t="n">
        <v>45877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15183-2021</t>
        </is>
      </c>
      <c r="B340" s="1" t="n">
        <v>44284</v>
      </c>
      <c r="C340" s="1" t="n">
        <v>45877</v>
      </c>
      <c r="D340" t="inlineStr">
        <is>
          <t>BLEKINGE LÄN</t>
        </is>
      </c>
      <c r="E340" t="inlineStr">
        <is>
          <t>RONNEBY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15361-2021</t>
        </is>
      </c>
      <c r="B341" s="1" t="n">
        <v>44284</v>
      </c>
      <c r="C341" s="1" t="n">
        <v>45877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15362-2021</t>
        </is>
      </c>
      <c r="B342" s="1" t="n">
        <v>44284</v>
      </c>
      <c r="C342" s="1" t="n">
        <v>45877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15736-2021</t>
        </is>
      </c>
      <c r="B343" s="1" t="n">
        <v>44286</v>
      </c>
      <c r="C343" s="1" t="n">
        <v>45877</v>
      </c>
      <c r="D343" t="inlineStr">
        <is>
          <t>BLEKINGE LÄN</t>
        </is>
      </c>
      <c r="E343" t="inlineStr">
        <is>
          <t>RONNEBY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15717-2021</t>
        </is>
      </c>
      <c r="B344" s="1" t="n">
        <v>44286</v>
      </c>
      <c r="C344" s="1" t="n">
        <v>45877</v>
      </c>
      <c r="D344" t="inlineStr">
        <is>
          <t>BLEKINGE LÄN</t>
        </is>
      </c>
      <c r="E344" t="inlineStr">
        <is>
          <t>RONNEBY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15745-2021</t>
        </is>
      </c>
      <c r="B345" s="1" t="n">
        <v>44286</v>
      </c>
      <c r="C345" s="1" t="n">
        <v>45877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17251-2021</t>
        </is>
      </c>
      <c r="B346" s="1" t="n">
        <v>44298</v>
      </c>
      <c r="C346" s="1" t="n">
        <v>45877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17577-2021</t>
        </is>
      </c>
      <c r="B347" s="1" t="n">
        <v>44299</v>
      </c>
      <c r="C347" s="1" t="n">
        <v>45877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17578-2021</t>
        </is>
      </c>
      <c r="B348" s="1" t="n">
        <v>44299</v>
      </c>
      <c r="C348" s="1" t="n">
        <v>45877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17631-2021</t>
        </is>
      </c>
      <c r="B349" s="1" t="n">
        <v>44300</v>
      </c>
      <c r="C349" s="1" t="n">
        <v>45877</v>
      </c>
      <c r="D349" t="inlineStr">
        <is>
          <t>BLEKINGE LÄN</t>
        </is>
      </c>
      <c r="E349" t="inlineStr">
        <is>
          <t>RONNEBY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17640-2021</t>
        </is>
      </c>
      <c r="B350" s="1" t="n">
        <v>44300</v>
      </c>
      <c r="C350" s="1" t="n">
        <v>45877</v>
      </c>
      <c r="D350" t="inlineStr">
        <is>
          <t>BLEKINGE LÄN</t>
        </is>
      </c>
      <c r="E350" t="inlineStr">
        <is>
          <t>RONNEBY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17635-2021</t>
        </is>
      </c>
      <c r="B351" s="1" t="n">
        <v>44300</v>
      </c>
      <c r="C351" s="1" t="n">
        <v>45877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17843-2021</t>
        </is>
      </c>
      <c r="B352" s="1" t="n">
        <v>44300</v>
      </c>
      <c r="C352" s="1" t="n">
        <v>45877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18805-2021</t>
        </is>
      </c>
      <c r="B353" s="1" t="n">
        <v>44307</v>
      </c>
      <c r="C353" s="1" t="n">
        <v>45877</v>
      </c>
      <c r="D353" t="inlineStr">
        <is>
          <t>BLEKINGE LÄN</t>
        </is>
      </c>
      <c r="E353" t="inlineStr">
        <is>
          <t>RONNEBY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18800-2021</t>
        </is>
      </c>
      <c r="B354" s="1" t="n">
        <v>44307</v>
      </c>
      <c r="C354" s="1" t="n">
        <v>45877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18810-2021</t>
        </is>
      </c>
      <c r="B355" s="1" t="n">
        <v>44307</v>
      </c>
      <c r="C355" s="1" t="n">
        <v>45877</v>
      </c>
      <c r="D355" t="inlineStr">
        <is>
          <t>BLEKINGE LÄN</t>
        </is>
      </c>
      <c r="E355" t="inlineStr">
        <is>
          <t>RONNEBY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18796-2021</t>
        </is>
      </c>
      <c r="B356" s="1" t="n">
        <v>44307</v>
      </c>
      <c r="C356" s="1" t="n">
        <v>45877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18807-2021</t>
        </is>
      </c>
      <c r="B357" s="1" t="n">
        <v>44307</v>
      </c>
      <c r="C357" s="1" t="n">
        <v>45877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19469-2021</t>
        </is>
      </c>
      <c r="B358" s="1" t="n">
        <v>44311</v>
      </c>
      <c r="C358" s="1" t="n">
        <v>45877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19453-2021</t>
        </is>
      </c>
      <c r="B359" s="1" t="n">
        <v>44311</v>
      </c>
      <c r="C359" s="1" t="n">
        <v>45877</v>
      </c>
      <c r="D359" t="inlineStr">
        <is>
          <t>BLEKINGE LÄN</t>
        </is>
      </c>
      <c r="E359" t="inlineStr">
        <is>
          <t>RONNEBY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19470-2021</t>
        </is>
      </c>
      <c r="B360" s="1" t="n">
        <v>44311</v>
      </c>
      <c r="C360" s="1" t="n">
        <v>45877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19454-2021</t>
        </is>
      </c>
      <c r="B361" s="1" t="n">
        <v>44311</v>
      </c>
      <c r="C361" s="1" t="n">
        <v>45877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19701-2021</t>
        </is>
      </c>
      <c r="B362" s="1" t="n">
        <v>44312</v>
      </c>
      <c r="C362" s="1" t="n">
        <v>45877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19703-2021</t>
        </is>
      </c>
      <c r="B363" s="1" t="n">
        <v>44312</v>
      </c>
      <c r="C363" s="1" t="n">
        <v>45877</v>
      </c>
      <c r="D363" t="inlineStr">
        <is>
          <t>BLEKINGE LÄN</t>
        </is>
      </c>
      <c r="E363" t="inlineStr">
        <is>
          <t>RONNEBY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20207-2021</t>
        </is>
      </c>
      <c r="B364" s="1" t="n">
        <v>44314</v>
      </c>
      <c r="C364" s="1" t="n">
        <v>45877</v>
      </c>
      <c r="D364" t="inlineStr">
        <is>
          <t>BLEKINGE LÄN</t>
        </is>
      </c>
      <c r="E364" t="inlineStr">
        <is>
          <t>RONNEBY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20200-2021</t>
        </is>
      </c>
      <c r="B365" s="1" t="n">
        <v>44314</v>
      </c>
      <c r="C365" s="1" t="n">
        <v>45877</v>
      </c>
      <c r="D365" t="inlineStr">
        <is>
          <t>BLEKINGE LÄN</t>
        </is>
      </c>
      <c r="E365" t="inlineStr">
        <is>
          <t>RONNEBY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21444-2021</t>
        </is>
      </c>
      <c r="B366" s="1" t="n">
        <v>44316</v>
      </c>
      <c r="C366" s="1" t="n">
        <v>45877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20841-2021</t>
        </is>
      </c>
      <c r="B367" s="1" t="n">
        <v>44319</v>
      </c>
      <c r="C367" s="1" t="n">
        <v>45877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22223-2021</t>
        </is>
      </c>
      <c r="B368" s="1" t="n">
        <v>44326</v>
      </c>
      <c r="C368" s="1" t="n">
        <v>45877</v>
      </c>
      <c r="D368" t="inlineStr">
        <is>
          <t>BLEKINGE LÄN</t>
        </is>
      </c>
      <c r="E368" t="inlineStr">
        <is>
          <t>RONNEBY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22230-2021</t>
        </is>
      </c>
      <c r="B369" s="1" t="n">
        <v>44326</v>
      </c>
      <c r="C369" s="1" t="n">
        <v>45877</v>
      </c>
      <c r="D369" t="inlineStr">
        <is>
          <t>BLEKINGE LÄN</t>
        </is>
      </c>
      <c r="E369" t="inlineStr">
        <is>
          <t>RONNEBY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23061-2021</t>
        </is>
      </c>
      <c r="B370" s="1" t="n">
        <v>44329</v>
      </c>
      <c r="C370" s="1" t="n">
        <v>45877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24227-2021</t>
        </is>
      </c>
      <c r="B371" s="1" t="n">
        <v>44336</v>
      </c>
      <c r="C371" s="1" t="n">
        <v>45877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24722-2021</t>
        </is>
      </c>
      <c r="B372" s="1" t="n">
        <v>44340</v>
      </c>
      <c r="C372" s="1" t="n">
        <v>45877</v>
      </c>
      <c r="D372" t="inlineStr">
        <is>
          <t>BLEKINGE LÄN</t>
        </is>
      </c>
      <c r="E372" t="inlineStr">
        <is>
          <t>RONNEBY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24959-2021</t>
        </is>
      </c>
      <c r="B373" s="1" t="n">
        <v>44341</v>
      </c>
      <c r="C373" s="1" t="n">
        <v>45877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25600-2021</t>
        </is>
      </c>
      <c r="B374" s="1" t="n">
        <v>44343</v>
      </c>
      <c r="C374" s="1" t="n">
        <v>45877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25596-2021</t>
        </is>
      </c>
      <c r="B375" s="1" t="n">
        <v>44343</v>
      </c>
      <c r="C375" s="1" t="n">
        <v>45877</v>
      </c>
      <c r="D375" t="inlineStr">
        <is>
          <t>BLEKINGE LÄN</t>
        </is>
      </c>
      <c r="E375" t="inlineStr">
        <is>
          <t>RONNEBY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25603-2021</t>
        </is>
      </c>
      <c r="B376" s="1" t="n">
        <v>44343</v>
      </c>
      <c r="C376" s="1" t="n">
        <v>45877</v>
      </c>
      <c r="D376" t="inlineStr">
        <is>
          <t>BLEKINGE LÄN</t>
        </is>
      </c>
      <c r="E376" t="inlineStr">
        <is>
          <t>RONNEBY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29374-2021</t>
        </is>
      </c>
      <c r="B377" s="1" t="n">
        <v>44361</v>
      </c>
      <c r="C377" s="1" t="n">
        <v>45877</v>
      </c>
      <c r="D377" t="inlineStr">
        <is>
          <t>BLEKINGE LÄN</t>
        </is>
      </c>
      <c r="E377" t="inlineStr">
        <is>
          <t>RONNEBY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30116-2021</t>
        </is>
      </c>
      <c r="B378" s="1" t="n">
        <v>44363</v>
      </c>
      <c r="C378" s="1" t="n">
        <v>45877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31402-2021</t>
        </is>
      </c>
      <c r="B379" s="1" t="n">
        <v>44369</v>
      </c>
      <c r="C379" s="1" t="n">
        <v>45877</v>
      </c>
      <c r="D379" t="inlineStr">
        <is>
          <t>BLEKINGE LÄN</t>
        </is>
      </c>
      <c r="E379" t="inlineStr">
        <is>
          <t>RONNEBY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31966-2021</t>
        </is>
      </c>
      <c r="B380" s="1" t="n">
        <v>44370</v>
      </c>
      <c r="C380" s="1" t="n">
        <v>45877</v>
      </c>
      <c r="D380" t="inlineStr">
        <is>
          <t>BLEKINGE LÄN</t>
        </is>
      </c>
      <c r="E380" t="inlineStr">
        <is>
          <t>RONNEBY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32061-2021</t>
        </is>
      </c>
      <c r="B381" s="1" t="n">
        <v>44370</v>
      </c>
      <c r="C381" s="1" t="n">
        <v>45877</v>
      </c>
      <c r="D381" t="inlineStr">
        <is>
          <t>BLEKINGE LÄN</t>
        </is>
      </c>
      <c r="E381" t="inlineStr">
        <is>
          <t>RONNEBY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32452-2021</t>
        </is>
      </c>
      <c r="B382" s="1" t="n">
        <v>44371</v>
      </c>
      <c r="C382" s="1" t="n">
        <v>45877</v>
      </c>
      <c r="D382" t="inlineStr">
        <is>
          <t>BLEKINGE LÄN</t>
        </is>
      </c>
      <c r="E382" t="inlineStr">
        <is>
          <t>RONNEBY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32528-2021</t>
        </is>
      </c>
      <c r="B383" s="1" t="n">
        <v>44374</v>
      </c>
      <c r="C383" s="1" t="n">
        <v>45877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32670-2021</t>
        </is>
      </c>
      <c r="B384" s="1" t="n">
        <v>44375</v>
      </c>
      <c r="C384" s="1" t="n">
        <v>45877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32844-2021</t>
        </is>
      </c>
      <c r="B385" s="1" t="n">
        <v>44375</v>
      </c>
      <c r="C385" s="1" t="n">
        <v>45877</v>
      </c>
      <c r="D385" t="inlineStr">
        <is>
          <t>BLEKINGE LÄN</t>
        </is>
      </c>
      <c r="E385" t="inlineStr">
        <is>
          <t>RONNEBY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33948-2021</t>
        </is>
      </c>
      <c r="B386" s="1" t="n">
        <v>44378</v>
      </c>
      <c r="C386" s="1" t="n">
        <v>45877</v>
      </c>
      <c r="D386" t="inlineStr">
        <is>
          <t>BLEKINGE LÄN</t>
        </is>
      </c>
      <c r="E386" t="inlineStr">
        <is>
          <t>RONNEBY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35493-2021</t>
        </is>
      </c>
      <c r="B387" s="1" t="n">
        <v>44385</v>
      </c>
      <c r="C387" s="1" t="n">
        <v>45877</v>
      </c>
      <c r="D387" t="inlineStr">
        <is>
          <t>BLEKINGE LÄN</t>
        </is>
      </c>
      <c r="E387" t="inlineStr">
        <is>
          <t>RONNEBY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35743-2021</t>
        </is>
      </c>
      <c r="B388" s="1" t="n">
        <v>44386</v>
      </c>
      <c r="C388" s="1" t="n">
        <v>45877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35827-2021</t>
        </is>
      </c>
      <c r="B389" s="1" t="n">
        <v>44386</v>
      </c>
      <c r="C389" s="1" t="n">
        <v>45877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39386-2021</t>
        </is>
      </c>
      <c r="B390" s="1" t="n">
        <v>44414</v>
      </c>
      <c r="C390" s="1" t="n">
        <v>45877</v>
      </c>
      <c r="D390" t="inlineStr">
        <is>
          <t>BLEKINGE LÄN</t>
        </is>
      </c>
      <c r="E390" t="inlineStr">
        <is>
          <t>RONNEBY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40346-2021</t>
        </is>
      </c>
      <c r="B391" s="1" t="n">
        <v>44419</v>
      </c>
      <c r="C391" s="1" t="n">
        <v>45877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40518-2021</t>
        </is>
      </c>
      <c r="B392" s="1" t="n">
        <v>44420</v>
      </c>
      <c r="C392" s="1" t="n">
        <v>45877</v>
      </c>
      <c r="D392" t="inlineStr">
        <is>
          <t>BLEKINGE LÄN</t>
        </is>
      </c>
      <c r="E392" t="inlineStr">
        <is>
          <t>RONNEBY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40526-2021</t>
        </is>
      </c>
      <c r="B393" s="1" t="n">
        <v>44420</v>
      </c>
      <c r="C393" s="1" t="n">
        <v>45877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40524-2021</t>
        </is>
      </c>
      <c r="B394" s="1" t="n">
        <v>44420</v>
      </c>
      <c r="C394" s="1" t="n">
        <v>45877</v>
      </c>
      <c r="D394" t="inlineStr">
        <is>
          <t>BLEKINGE LÄN</t>
        </is>
      </c>
      <c r="E394" t="inlineStr">
        <is>
          <t>RONNEBY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40528-2021</t>
        </is>
      </c>
      <c r="B395" s="1" t="n">
        <v>44420</v>
      </c>
      <c r="C395" s="1" t="n">
        <v>45877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40668-2021</t>
        </is>
      </c>
      <c r="B396" s="1" t="n">
        <v>44420</v>
      </c>
      <c r="C396" s="1" t="n">
        <v>45877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40856-2021</t>
        </is>
      </c>
      <c r="B397" s="1" t="n">
        <v>44421</v>
      </c>
      <c r="C397" s="1" t="n">
        <v>45877</v>
      </c>
      <c r="D397" t="inlineStr">
        <is>
          <t>BLEKINGE LÄN</t>
        </is>
      </c>
      <c r="E397" t="inlineStr">
        <is>
          <t>RONNEBY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40998-2021</t>
        </is>
      </c>
      <c r="B398" s="1" t="n">
        <v>44421</v>
      </c>
      <c r="C398" s="1" t="n">
        <v>45877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41459-2021</t>
        </is>
      </c>
      <c r="B399" s="1" t="n">
        <v>44424</v>
      </c>
      <c r="C399" s="1" t="n">
        <v>45877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42389-2021</t>
        </is>
      </c>
      <c r="B400" s="1" t="n">
        <v>44427</v>
      </c>
      <c r="C400" s="1" t="n">
        <v>45877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43246-2021</t>
        </is>
      </c>
      <c r="B401" s="1" t="n">
        <v>44432</v>
      </c>
      <c r="C401" s="1" t="n">
        <v>45877</v>
      </c>
      <c r="D401" t="inlineStr">
        <is>
          <t>BLEKINGE LÄN</t>
        </is>
      </c>
      <c r="E401" t="inlineStr">
        <is>
          <t>RONNEBY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43339-2021</t>
        </is>
      </c>
      <c r="B402" s="1" t="n">
        <v>44432</v>
      </c>
      <c r="C402" s="1" t="n">
        <v>45877</v>
      </c>
      <c r="D402" t="inlineStr">
        <is>
          <t>BLEKINGE LÄN</t>
        </is>
      </c>
      <c r="E402" t="inlineStr">
        <is>
          <t>RONNEBY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43923-2021</t>
        </is>
      </c>
      <c r="B403" s="1" t="n">
        <v>44434</v>
      </c>
      <c r="C403" s="1" t="n">
        <v>45877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43875-2021</t>
        </is>
      </c>
      <c r="B404" s="1" t="n">
        <v>44434</v>
      </c>
      <c r="C404" s="1" t="n">
        <v>45877</v>
      </c>
      <c r="D404" t="inlineStr">
        <is>
          <t>BLEKINGE LÄN</t>
        </is>
      </c>
      <c r="E404" t="inlineStr">
        <is>
          <t>RONNEBY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43918-2021</t>
        </is>
      </c>
      <c r="B405" s="1" t="n">
        <v>44434</v>
      </c>
      <c r="C405" s="1" t="n">
        <v>45877</v>
      </c>
      <c r="D405" t="inlineStr">
        <is>
          <t>BLEKINGE LÄN</t>
        </is>
      </c>
      <c r="E405" t="inlineStr">
        <is>
          <t>RONNEBY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45186-2021</t>
        </is>
      </c>
      <c r="B406" s="1" t="n">
        <v>44439</v>
      </c>
      <c r="C406" s="1" t="n">
        <v>45877</v>
      </c>
      <c r="D406" t="inlineStr">
        <is>
          <t>BLEKINGE LÄN</t>
        </is>
      </c>
      <c r="E406" t="inlineStr">
        <is>
          <t>RONNEBY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46461-2021</t>
        </is>
      </c>
      <c r="B407" s="1" t="n">
        <v>44445</v>
      </c>
      <c r="C407" s="1" t="n">
        <v>45877</v>
      </c>
      <c r="D407" t="inlineStr">
        <is>
          <t>BLEKINGE LÄN</t>
        </is>
      </c>
      <c r="E407" t="inlineStr">
        <is>
          <t>RONNEBY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47249-2021</t>
        </is>
      </c>
      <c r="B408" s="1" t="n">
        <v>44447</v>
      </c>
      <c r="C408" s="1" t="n">
        <v>45877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47319-2021</t>
        </is>
      </c>
      <c r="B409" s="1" t="n">
        <v>44447</v>
      </c>
      <c r="C409" s="1" t="n">
        <v>45877</v>
      </c>
      <c r="D409" t="inlineStr">
        <is>
          <t>BLEKINGE LÄN</t>
        </is>
      </c>
      <c r="E409" t="inlineStr">
        <is>
          <t>RONNEBY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48516-2021</t>
        </is>
      </c>
      <c r="B410" s="1" t="n">
        <v>44451</v>
      </c>
      <c r="C410" s="1" t="n">
        <v>45877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49653-2021</t>
        </is>
      </c>
      <c r="B411" s="1" t="n">
        <v>44455</v>
      </c>
      <c r="C411" s="1" t="n">
        <v>45877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49692-2021</t>
        </is>
      </c>
      <c r="B412" s="1" t="n">
        <v>44455</v>
      </c>
      <c r="C412" s="1" t="n">
        <v>45877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49740-2021</t>
        </is>
      </c>
      <c r="B413" s="1" t="n">
        <v>44455</v>
      </c>
      <c r="C413" s="1" t="n">
        <v>45877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49991-2021</t>
        </is>
      </c>
      <c r="B414" s="1" t="n">
        <v>44456</v>
      </c>
      <c r="C414" s="1" t="n">
        <v>45877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51898-2021</t>
        </is>
      </c>
      <c r="B415" s="1" t="n">
        <v>44462</v>
      </c>
      <c r="C415" s="1" t="n">
        <v>45877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52358-2021</t>
        </is>
      </c>
      <c r="B416" s="1" t="n">
        <v>44465</v>
      </c>
      <c r="C416" s="1" t="n">
        <v>45877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53366-2021</t>
        </is>
      </c>
      <c r="B417" s="1" t="n">
        <v>44466</v>
      </c>
      <c r="C417" s="1" t="n">
        <v>45877</v>
      </c>
      <c r="D417" t="inlineStr">
        <is>
          <t>BLEKINGE LÄN</t>
        </is>
      </c>
      <c r="E417" t="inlineStr">
        <is>
          <t>RONNEBY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53270-2021</t>
        </is>
      </c>
      <c r="B418" s="1" t="n">
        <v>44468</v>
      </c>
      <c r="C418" s="1" t="n">
        <v>45877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54973-2021</t>
        </is>
      </c>
      <c r="B419" s="1" t="n">
        <v>44474</v>
      </c>
      <c r="C419" s="1" t="n">
        <v>45877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55227-2021</t>
        </is>
      </c>
      <c r="B420" s="1" t="n">
        <v>44474</v>
      </c>
      <c r="C420" s="1" t="n">
        <v>45877</v>
      </c>
      <c r="D420" t="inlineStr">
        <is>
          <t>BLEKINGE LÄN</t>
        </is>
      </c>
      <c r="E420" t="inlineStr">
        <is>
          <t>RONNEBY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58618-2021</t>
        </is>
      </c>
      <c r="B421" s="1" t="n">
        <v>44489</v>
      </c>
      <c r="C421" s="1" t="n">
        <v>45877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59289-2021</t>
        </is>
      </c>
      <c r="B422" s="1" t="n">
        <v>44490</v>
      </c>
      <c r="C422" s="1" t="n">
        <v>45877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59292-2021</t>
        </is>
      </c>
      <c r="B423" s="1" t="n">
        <v>44490</v>
      </c>
      <c r="C423" s="1" t="n">
        <v>45877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59649-2021</t>
        </is>
      </c>
      <c r="B424" s="1" t="n">
        <v>44493</v>
      </c>
      <c r="C424" s="1" t="n">
        <v>45877</v>
      </c>
      <c r="D424" t="inlineStr">
        <is>
          <t>BLEKINGE LÄN</t>
        </is>
      </c>
      <c r="E424" t="inlineStr">
        <is>
          <t>RONNEBY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59650-2021</t>
        </is>
      </c>
      <c r="B425" s="1" t="n">
        <v>44493</v>
      </c>
      <c r="C425" s="1" t="n">
        <v>45877</v>
      </c>
      <c r="D425" t="inlineStr">
        <is>
          <t>BLEKINGE LÄN</t>
        </is>
      </c>
      <c r="E425" t="inlineStr">
        <is>
          <t>RONNEBY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59840-2021</t>
        </is>
      </c>
      <c r="B426" s="1" t="n">
        <v>44494</v>
      </c>
      <c r="C426" s="1" t="n">
        <v>45877</v>
      </c>
      <c r="D426" t="inlineStr">
        <is>
          <t>BLEKINGE LÄN</t>
        </is>
      </c>
      <c r="E426" t="inlineStr">
        <is>
          <t>RONNEBY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59947-2021</t>
        </is>
      </c>
      <c r="B427" s="1" t="n">
        <v>44494</v>
      </c>
      <c r="C427" s="1" t="n">
        <v>45877</v>
      </c>
      <c r="D427" t="inlineStr">
        <is>
          <t>BLEKINGE LÄN</t>
        </is>
      </c>
      <c r="E427" t="inlineStr">
        <is>
          <t>RONNEBY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59946-2021</t>
        </is>
      </c>
      <c r="B428" s="1" t="n">
        <v>44494</v>
      </c>
      <c r="C428" s="1" t="n">
        <v>45877</v>
      </c>
      <c r="D428" t="inlineStr">
        <is>
          <t>BLEKINGE LÄN</t>
        </is>
      </c>
      <c r="E428" t="inlineStr">
        <is>
          <t>RONNEBY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61657-2021</t>
        </is>
      </c>
      <c r="B429" s="1" t="n">
        <v>44501</v>
      </c>
      <c r="C429" s="1" t="n">
        <v>45877</v>
      </c>
      <c r="D429" t="inlineStr">
        <is>
          <t>BLEKINGE LÄN</t>
        </is>
      </c>
      <c r="E429" t="inlineStr">
        <is>
          <t>RONNEBY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61644-2021</t>
        </is>
      </c>
      <c r="B430" s="1" t="n">
        <v>44501</v>
      </c>
      <c r="C430" s="1" t="n">
        <v>45877</v>
      </c>
      <c r="D430" t="inlineStr">
        <is>
          <t>BLEKINGE LÄN</t>
        </is>
      </c>
      <c r="E430" t="inlineStr">
        <is>
          <t>RONNEBY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62714-2021</t>
        </is>
      </c>
      <c r="B431" s="1" t="n">
        <v>44503</v>
      </c>
      <c r="C431" s="1" t="n">
        <v>45877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62711-2021</t>
        </is>
      </c>
      <c r="B432" s="1" t="n">
        <v>44504</v>
      </c>
      <c r="C432" s="1" t="n">
        <v>45877</v>
      </c>
      <c r="D432" t="inlineStr">
        <is>
          <t>BLEKINGE LÄN</t>
        </is>
      </c>
      <c r="E432" t="inlineStr">
        <is>
          <t>RONNEBY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62713-2021</t>
        </is>
      </c>
      <c r="B433" s="1" t="n">
        <v>44504</v>
      </c>
      <c r="C433" s="1" t="n">
        <v>45877</v>
      </c>
      <c r="D433" t="inlineStr">
        <is>
          <t>BLEKINGE LÄN</t>
        </is>
      </c>
      <c r="E433" t="inlineStr">
        <is>
          <t>RONNEBY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64169-2021</t>
        </is>
      </c>
      <c r="B434" s="1" t="n">
        <v>44510</v>
      </c>
      <c r="C434" s="1" t="n">
        <v>45877</v>
      </c>
      <c r="D434" t="inlineStr">
        <is>
          <t>BLEKINGE LÄN</t>
        </is>
      </c>
      <c r="E434" t="inlineStr">
        <is>
          <t>RONNEBY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66288-2021</t>
        </is>
      </c>
      <c r="B435" s="1" t="n">
        <v>44518</v>
      </c>
      <c r="C435" s="1" t="n">
        <v>45877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68620-2021</t>
        </is>
      </c>
      <c r="B436" s="1" t="n">
        <v>44529</v>
      </c>
      <c r="C436" s="1" t="n">
        <v>45877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69016-2021</t>
        </is>
      </c>
      <c r="B437" s="1" t="n">
        <v>44529</v>
      </c>
      <c r="C437" s="1" t="n">
        <v>45877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69574-2021</t>
        </is>
      </c>
      <c r="B438" s="1" t="n">
        <v>44532</v>
      </c>
      <c r="C438" s="1" t="n">
        <v>45877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71769-2021</t>
        </is>
      </c>
      <c r="B439" s="1" t="n">
        <v>44539</v>
      </c>
      <c r="C439" s="1" t="n">
        <v>45877</v>
      </c>
      <c r="D439" t="inlineStr">
        <is>
          <t>BLEKINGE LÄN</t>
        </is>
      </c>
      <c r="E439" t="inlineStr">
        <is>
          <t>RONNEBY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72789-2021</t>
        </is>
      </c>
      <c r="B440" s="1" t="n">
        <v>44546</v>
      </c>
      <c r="C440" s="1" t="n">
        <v>45877</v>
      </c>
      <c r="D440" t="inlineStr">
        <is>
          <t>BLEKINGE LÄN</t>
        </is>
      </c>
      <c r="E440" t="inlineStr">
        <is>
          <t>RONNEBY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74224-2021</t>
        </is>
      </c>
      <c r="B441" s="1" t="n">
        <v>44553</v>
      </c>
      <c r="C441" s="1" t="n">
        <v>45877</v>
      </c>
      <c r="D441" t="inlineStr">
        <is>
          <t>BLEKINGE LÄN</t>
        </is>
      </c>
      <c r="E441" t="inlineStr">
        <is>
          <t>RONNEBY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74153-2021</t>
        </is>
      </c>
      <c r="B442" s="1" t="n">
        <v>44558</v>
      </c>
      <c r="C442" s="1" t="n">
        <v>45877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237-2022</t>
        </is>
      </c>
      <c r="B443" s="1" t="n">
        <v>44565</v>
      </c>
      <c r="C443" s="1" t="n">
        <v>45877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281-2022</t>
        </is>
      </c>
      <c r="B444" s="1" t="n">
        <v>44565</v>
      </c>
      <c r="C444" s="1" t="n">
        <v>45877</v>
      </c>
      <c r="D444" t="inlineStr">
        <is>
          <t>BLEKINGE LÄN</t>
        </is>
      </c>
      <c r="E444" t="inlineStr">
        <is>
          <t>RONNEBY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271-2022</t>
        </is>
      </c>
      <c r="B445" s="1" t="n">
        <v>44565</v>
      </c>
      <c r="C445" s="1" t="n">
        <v>45877</v>
      </c>
      <c r="D445" t="inlineStr">
        <is>
          <t>BLEKINGE LÄN</t>
        </is>
      </c>
      <c r="E445" t="inlineStr">
        <is>
          <t>RONNEBY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253-2022</t>
        </is>
      </c>
      <c r="B446" s="1" t="n">
        <v>44565</v>
      </c>
      <c r="C446" s="1" t="n">
        <v>45877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913-2022</t>
        </is>
      </c>
      <c r="B447" s="1" t="n">
        <v>44571</v>
      </c>
      <c r="C447" s="1" t="n">
        <v>45877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1451-2022</t>
        </is>
      </c>
      <c r="B448" s="1" t="n">
        <v>44573</v>
      </c>
      <c r="C448" s="1" t="n">
        <v>45877</v>
      </c>
      <c r="D448" t="inlineStr">
        <is>
          <t>BLEKINGE LÄN</t>
        </is>
      </c>
      <c r="E448" t="inlineStr">
        <is>
          <t>RONNEBY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2077-2022</t>
        </is>
      </c>
      <c r="B449" s="1" t="n">
        <v>44576</v>
      </c>
      <c r="C449" s="1" t="n">
        <v>45877</v>
      </c>
      <c r="D449" t="inlineStr">
        <is>
          <t>BLEKINGE LÄN</t>
        </is>
      </c>
      <c r="E449" t="inlineStr">
        <is>
          <t>RONNEBY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2359-2022</t>
        </is>
      </c>
      <c r="B450" s="1" t="n">
        <v>44579</v>
      </c>
      <c r="C450" s="1" t="n">
        <v>45877</v>
      </c>
      <c r="D450" t="inlineStr">
        <is>
          <t>BLEKINGE LÄN</t>
        </is>
      </c>
      <c r="E450" t="inlineStr">
        <is>
          <t>RONNEBY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3022-2022</t>
        </is>
      </c>
      <c r="B451" s="1" t="n">
        <v>44581</v>
      </c>
      <c r="C451" s="1" t="n">
        <v>45877</v>
      </c>
      <c r="D451" t="inlineStr">
        <is>
          <t>BLEKINGE LÄN</t>
        </is>
      </c>
      <c r="E451" t="inlineStr">
        <is>
          <t>RONNEBY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3650-2022</t>
        </is>
      </c>
      <c r="B452" s="1" t="n">
        <v>44586</v>
      </c>
      <c r="C452" s="1" t="n">
        <v>45877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3649-2022</t>
        </is>
      </c>
      <c r="B453" s="1" t="n">
        <v>44586</v>
      </c>
      <c r="C453" s="1" t="n">
        <v>45877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4377-2022</t>
        </is>
      </c>
      <c r="B454" s="1" t="n">
        <v>44589</v>
      </c>
      <c r="C454" s="1" t="n">
        <v>45877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4632-2022</t>
        </is>
      </c>
      <c r="B455" s="1" t="n">
        <v>44592</v>
      </c>
      <c r="C455" s="1" t="n">
        <v>45877</v>
      </c>
      <c r="D455" t="inlineStr">
        <is>
          <t>BLEKINGE LÄN</t>
        </is>
      </c>
      <c r="E455" t="inlineStr">
        <is>
          <t>RONNEBY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5426-2022</t>
        </is>
      </c>
      <c r="B456" s="1" t="n">
        <v>44595</v>
      </c>
      <c r="C456" s="1" t="n">
        <v>45877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5502-2022</t>
        </is>
      </c>
      <c r="B457" s="1" t="n">
        <v>44595</v>
      </c>
      <c r="C457" s="1" t="n">
        <v>45877</v>
      </c>
      <c r="D457" t="inlineStr">
        <is>
          <t>BLEKINGE LÄN</t>
        </is>
      </c>
      <c r="E457" t="inlineStr">
        <is>
          <t>RONNEBY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5701-2022</t>
        </is>
      </c>
      <c r="B458" s="1" t="n">
        <v>44596</v>
      </c>
      <c r="C458" s="1" t="n">
        <v>45877</v>
      </c>
      <c r="D458" t="inlineStr">
        <is>
          <t>BLEKINGE LÄN</t>
        </is>
      </c>
      <c r="E458" t="inlineStr">
        <is>
          <t>RONNEBY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6289-2022</t>
        </is>
      </c>
      <c r="B459" s="1" t="n">
        <v>44600</v>
      </c>
      <c r="C459" s="1" t="n">
        <v>45877</v>
      </c>
      <c r="D459" t="inlineStr">
        <is>
          <t>BLEKINGE LÄN</t>
        </is>
      </c>
      <c r="E459" t="inlineStr">
        <is>
          <t>RONNEBY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6388-2022</t>
        </is>
      </c>
      <c r="B460" s="1" t="n">
        <v>44600</v>
      </c>
      <c r="C460" s="1" t="n">
        <v>45877</v>
      </c>
      <c r="D460" t="inlineStr">
        <is>
          <t>BLEKINGE LÄN</t>
        </is>
      </c>
      <c r="E460" t="inlineStr">
        <is>
          <t>RONNEBY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6476-2022</t>
        </is>
      </c>
      <c r="B461" s="1" t="n">
        <v>44601</v>
      </c>
      <c r="C461" s="1" t="n">
        <v>45877</v>
      </c>
      <c r="D461" t="inlineStr">
        <is>
          <t>BLEKINGE LÄN</t>
        </is>
      </c>
      <c r="E461" t="inlineStr">
        <is>
          <t>RONNEBY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7347-2022</t>
        </is>
      </c>
      <c r="B462" s="1" t="n">
        <v>44606</v>
      </c>
      <c r="C462" s="1" t="n">
        <v>45877</v>
      </c>
      <c r="D462" t="inlineStr">
        <is>
          <t>BLEKINGE LÄN</t>
        </is>
      </c>
      <c r="E462" t="inlineStr">
        <is>
          <t>RONNEBY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7773-2022</t>
        </is>
      </c>
      <c r="B463" s="1" t="n">
        <v>44608</v>
      </c>
      <c r="C463" s="1" t="n">
        <v>45877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7777-2022</t>
        </is>
      </c>
      <c r="B464" s="1" t="n">
        <v>44608</v>
      </c>
      <c r="C464" s="1" t="n">
        <v>45877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8108-2022</t>
        </is>
      </c>
      <c r="B465" s="1" t="n">
        <v>44609</v>
      </c>
      <c r="C465" s="1" t="n">
        <v>45877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9012-2022</t>
        </is>
      </c>
      <c r="B466" s="1" t="n">
        <v>44615</v>
      </c>
      <c r="C466" s="1" t="n">
        <v>45877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9352-2022</t>
        </is>
      </c>
      <c r="B467" s="1" t="n">
        <v>44616</v>
      </c>
      <c r="C467" s="1" t="n">
        <v>45877</v>
      </c>
      <c r="D467" t="inlineStr">
        <is>
          <t>BLEKINGE LÄN</t>
        </is>
      </c>
      <c r="E467" t="inlineStr">
        <is>
          <t>RONNEBY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9381-2022</t>
        </is>
      </c>
      <c r="B468" s="1" t="n">
        <v>44616</v>
      </c>
      <c r="C468" s="1" t="n">
        <v>45877</v>
      </c>
      <c r="D468" t="inlineStr">
        <is>
          <t>BLEKINGE LÄN</t>
        </is>
      </c>
      <c r="E468" t="inlineStr">
        <is>
          <t>RONNEBY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9658-2022</t>
        </is>
      </c>
      <c r="B469" s="1" t="n">
        <v>44617</v>
      </c>
      <c r="C469" s="1" t="n">
        <v>45877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9685-2022</t>
        </is>
      </c>
      <c r="B470" s="1" t="n">
        <v>44617</v>
      </c>
      <c r="C470" s="1" t="n">
        <v>45877</v>
      </c>
      <c r="D470" t="inlineStr">
        <is>
          <t>BLEKINGE LÄN</t>
        </is>
      </c>
      <c r="E470" t="inlineStr">
        <is>
          <t>RONNEBY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9664-2022</t>
        </is>
      </c>
      <c r="B471" s="1" t="n">
        <v>44617</v>
      </c>
      <c r="C471" s="1" t="n">
        <v>45877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9683-2022</t>
        </is>
      </c>
      <c r="B472" s="1" t="n">
        <v>44617</v>
      </c>
      <c r="C472" s="1" t="n">
        <v>45877</v>
      </c>
      <c r="D472" t="inlineStr">
        <is>
          <t>BLEKINGE LÄN</t>
        </is>
      </c>
      <c r="E472" t="inlineStr">
        <is>
          <t>RONNEBY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10767-2022</t>
        </is>
      </c>
      <c r="B473" s="1" t="n">
        <v>44627</v>
      </c>
      <c r="C473" s="1" t="n">
        <v>45877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10737-2022</t>
        </is>
      </c>
      <c r="B474" s="1" t="n">
        <v>44627</v>
      </c>
      <c r="C474" s="1" t="n">
        <v>45877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11462-2022</t>
        </is>
      </c>
      <c r="B475" s="1" t="n">
        <v>44630</v>
      </c>
      <c r="C475" s="1" t="n">
        <v>45877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11461-2022</t>
        </is>
      </c>
      <c r="B476" s="1" t="n">
        <v>44630</v>
      </c>
      <c r="C476" s="1" t="n">
        <v>45877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11331-2022</t>
        </is>
      </c>
      <c r="B477" s="1" t="n">
        <v>44630</v>
      </c>
      <c r="C477" s="1" t="n">
        <v>45877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12147-2022</t>
        </is>
      </c>
      <c r="B478" s="1" t="n">
        <v>44636</v>
      </c>
      <c r="C478" s="1" t="n">
        <v>45877</v>
      </c>
      <c r="D478" t="inlineStr">
        <is>
          <t>BLEKINGE LÄN</t>
        </is>
      </c>
      <c r="E478" t="inlineStr">
        <is>
          <t>RONNEBY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12281-2022</t>
        </is>
      </c>
      <c r="B479" s="1" t="n">
        <v>44637</v>
      </c>
      <c r="C479" s="1" t="n">
        <v>45877</v>
      </c>
      <c r="D479" t="inlineStr">
        <is>
          <t>BLEKINGE LÄN</t>
        </is>
      </c>
      <c r="E479" t="inlineStr">
        <is>
          <t>RONNEBY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12433-2022</t>
        </is>
      </c>
      <c r="B480" s="1" t="n">
        <v>44638</v>
      </c>
      <c r="C480" s="1" t="n">
        <v>45877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13468-2022</t>
        </is>
      </c>
      <c r="B481" s="1" t="n">
        <v>44645</v>
      </c>
      <c r="C481" s="1" t="n">
        <v>45877</v>
      </c>
      <c r="D481" t="inlineStr">
        <is>
          <t>BLEKINGE LÄN</t>
        </is>
      </c>
      <c r="E481" t="inlineStr">
        <is>
          <t>RONNEBY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13796-2022</t>
        </is>
      </c>
      <c r="B482" s="1" t="n">
        <v>44649</v>
      </c>
      <c r="C482" s="1" t="n">
        <v>45877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14234-2022</t>
        </is>
      </c>
      <c r="B483" s="1" t="n">
        <v>44651</v>
      </c>
      <c r="C483" s="1" t="n">
        <v>45877</v>
      </c>
      <c r="D483" t="inlineStr">
        <is>
          <t>BLEKINGE LÄN</t>
        </is>
      </c>
      <c r="E483" t="inlineStr">
        <is>
          <t>RONNEBY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14625-2022</t>
        </is>
      </c>
      <c r="B484" s="1" t="n">
        <v>44655</v>
      </c>
      <c r="C484" s="1" t="n">
        <v>45877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14642-2022</t>
        </is>
      </c>
      <c r="B485" s="1" t="n">
        <v>44655</v>
      </c>
      <c r="C485" s="1" t="n">
        <v>45877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14639-2022</t>
        </is>
      </c>
      <c r="B486" s="1" t="n">
        <v>44655</v>
      </c>
      <c r="C486" s="1" t="n">
        <v>45877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14823-2022</t>
        </is>
      </c>
      <c r="B487" s="1" t="n">
        <v>44656</v>
      </c>
      <c r="C487" s="1" t="n">
        <v>45877</v>
      </c>
      <c r="D487" t="inlineStr">
        <is>
          <t>BLEKINGE LÄN</t>
        </is>
      </c>
      <c r="E487" t="inlineStr">
        <is>
          <t>RONNEBY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15071-2022</t>
        </is>
      </c>
      <c r="B488" s="1" t="n">
        <v>44657</v>
      </c>
      <c r="C488" s="1" t="n">
        <v>45877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15196-2022</t>
        </is>
      </c>
      <c r="B489" s="1" t="n">
        <v>44658</v>
      </c>
      <c r="C489" s="1" t="n">
        <v>45877</v>
      </c>
      <c r="D489" t="inlineStr">
        <is>
          <t>BLEKINGE LÄN</t>
        </is>
      </c>
      <c r="E489" t="inlineStr">
        <is>
          <t>RONNEBY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16907-2022</t>
        </is>
      </c>
      <c r="B490" s="1" t="n">
        <v>44676</v>
      </c>
      <c r="C490" s="1" t="n">
        <v>45877</v>
      </c>
      <c r="D490" t="inlineStr">
        <is>
          <t>BLEKINGE LÄN</t>
        </is>
      </c>
      <c r="E490" t="inlineStr">
        <is>
          <t>RONNEBY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18587-2022</t>
        </is>
      </c>
      <c r="B491" s="1" t="n">
        <v>44687</v>
      </c>
      <c r="C491" s="1" t="n">
        <v>45877</v>
      </c>
      <c r="D491" t="inlineStr">
        <is>
          <t>BLEKINGE LÄN</t>
        </is>
      </c>
      <c r="E491" t="inlineStr">
        <is>
          <t>RONNEBY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19440-2022</t>
        </is>
      </c>
      <c r="B492" s="1" t="n">
        <v>44693</v>
      </c>
      <c r="C492" s="1" t="n">
        <v>45877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19615-2022</t>
        </is>
      </c>
      <c r="B493" s="1" t="n">
        <v>44694</v>
      </c>
      <c r="C493" s="1" t="n">
        <v>45877</v>
      </c>
      <c r="D493" t="inlineStr">
        <is>
          <t>BLEKINGE LÄN</t>
        </is>
      </c>
      <c r="E493" t="inlineStr">
        <is>
          <t>RONNEBY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19657-2022</t>
        </is>
      </c>
      <c r="B494" s="1" t="n">
        <v>44694</v>
      </c>
      <c r="C494" s="1" t="n">
        <v>45877</v>
      </c>
      <c r="D494" t="inlineStr">
        <is>
          <t>BLEKINGE LÄN</t>
        </is>
      </c>
      <c r="E494" t="inlineStr">
        <is>
          <t>RONNEBY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19733-2022</t>
        </is>
      </c>
      <c r="B495" s="1" t="n">
        <v>44694</v>
      </c>
      <c r="C495" s="1" t="n">
        <v>45877</v>
      </c>
      <c r="D495" t="inlineStr">
        <is>
          <t>BLEKINGE LÄN</t>
        </is>
      </c>
      <c r="E495" t="inlineStr">
        <is>
          <t>RONNEBY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21124-2022</t>
        </is>
      </c>
      <c r="B496" s="1" t="n">
        <v>44704</v>
      </c>
      <c r="C496" s="1" t="n">
        <v>45877</v>
      </c>
      <c r="D496" t="inlineStr">
        <is>
          <t>BLEKINGE LÄN</t>
        </is>
      </c>
      <c r="E496" t="inlineStr">
        <is>
          <t>RONNEBY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22507-2022</t>
        </is>
      </c>
      <c r="B497" s="1" t="n">
        <v>44713</v>
      </c>
      <c r="C497" s="1" t="n">
        <v>45877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22510-2022</t>
        </is>
      </c>
      <c r="B498" s="1" t="n">
        <v>44713</v>
      </c>
      <c r="C498" s="1" t="n">
        <v>45877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23661-2022</t>
        </is>
      </c>
      <c r="B499" s="1" t="n">
        <v>44721</v>
      </c>
      <c r="C499" s="1" t="n">
        <v>45877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23888-2022</t>
        </is>
      </c>
      <c r="B500" s="1" t="n">
        <v>44722</v>
      </c>
      <c r="C500" s="1" t="n">
        <v>45877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25077-2022</t>
        </is>
      </c>
      <c r="B501" s="1" t="n">
        <v>44729</v>
      </c>
      <c r="C501" s="1" t="n">
        <v>45877</v>
      </c>
      <c r="D501" t="inlineStr">
        <is>
          <t>BLEKINGE LÄN</t>
        </is>
      </c>
      <c r="E501" t="inlineStr">
        <is>
          <t>RONNEBY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26644-2022</t>
        </is>
      </c>
      <c r="B502" s="1" t="n">
        <v>44739</v>
      </c>
      <c r="C502" s="1" t="n">
        <v>45877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26548-2022</t>
        </is>
      </c>
      <c r="B503" s="1" t="n">
        <v>44739</v>
      </c>
      <c r="C503" s="1" t="n">
        <v>45877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28704-2022</t>
        </is>
      </c>
      <c r="B504" s="1" t="n">
        <v>44748</v>
      </c>
      <c r="C504" s="1" t="n">
        <v>45877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29152-2022</t>
        </is>
      </c>
      <c r="B505" s="1" t="n">
        <v>44750</v>
      </c>
      <c r="C505" s="1" t="n">
        <v>45877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29431-2022</t>
        </is>
      </c>
      <c r="B506" s="1" t="n">
        <v>44753</v>
      </c>
      <c r="C506" s="1" t="n">
        <v>45877</v>
      </c>
      <c r="D506" t="inlineStr">
        <is>
          <t>BLEKINGE LÄN</t>
        </is>
      </c>
      <c r="E506" t="inlineStr">
        <is>
          <t>RONNEBY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29430-2022</t>
        </is>
      </c>
      <c r="B507" s="1" t="n">
        <v>44753</v>
      </c>
      <c r="C507" s="1" t="n">
        <v>45877</v>
      </c>
      <c r="D507" t="inlineStr">
        <is>
          <t>BLEKINGE LÄN</t>
        </is>
      </c>
      <c r="E507" t="inlineStr">
        <is>
          <t>RONNEBY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29434-2022</t>
        </is>
      </c>
      <c r="B508" s="1" t="n">
        <v>44753</v>
      </c>
      <c r="C508" s="1" t="n">
        <v>45877</v>
      </c>
      <c r="D508" t="inlineStr">
        <is>
          <t>BLEKINGE LÄN</t>
        </is>
      </c>
      <c r="E508" t="inlineStr">
        <is>
          <t>RONNEBY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29551-2022</t>
        </is>
      </c>
      <c r="B509" s="1" t="n">
        <v>44754</v>
      </c>
      <c r="C509" s="1" t="n">
        <v>45877</v>
      </c>
      <c r="D509" t="inlineStr">
        <is>
          <t>BLEKINGE LÄN</t>
        </is>
      </c>
      <c r="E509" t="inlineStr">
        <is>
          <t>RONNEBY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29552-2022</t>
        </is>
      </c>
      <c r="B510" s="1" t="n">
        <v>44754</v>
      </c>
      <c r="C510" s="1" t="n">
        <v>45877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29870-2022</t>
        </is>
      </c>
      <c r="B511" s="1" t="n">
        <v>44756</v>
      </c>
      <c r="C511" s="1" t="n">
        <v>45877</v>
      </c>
      <c r="D511" t="inlineStr">
        <is>
          <t>BLEKINGE LÄN</t>
        </is>
      </c>
      <c r="E511" t="inlineStr">
        <is>
          <t>RONNEBY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32162-2022</t>
        </is>
      </c>
      <c r="B512" s="1" t="n">
        <v>44756</v>
      </c>
      <c r="C512" s="1" t="n">
        <v>45877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32159-2022</t>
        </is>
      </c>
      <c r="B513" s="1" t="n">
        <v>44756</v>
      </c>
      <c r="C513" s="1" t="n">
        <v>45877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30510-2022</t>
        </is>
      </c>
      <c r="B514" s="1" t="n">
        <v>44762</v>
      </c>
      <c r="C514" s="1" t="n">
        <v>45877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30525-2022</t>
        </is>
      </c>
      <c r="B515" s="1" t="n">
        <v>44762</v>
      </c>
      <c r="C515" s="1" t="n">
        <v>45877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30531-2022</t>
        </is>
      </c>
      <c r="B516" s="1" t="n">
        <v>44762</v>
      </c>
      <c r="C516" s="1" t="n">
        <v>45877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30536-2022</t>
        </is>
      </c>
      <c r="B517" s="1" t="n">
        <v>44762</v>
      </c>
      <c r="C517" s="1" t="n">
        <v>45877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30500-2022</t>
        </is>
      </c>
      <c r="B518" s="1" t="n">
        <v>44762</v>
      </c>
      <c r="C518" s="1" t="n">
        <v>45877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30508-2022</t>
        </is>
      </c>
      <c r="B519" s="1" t="n">
        <v>44762</v>
      </c>
      <c r="C519" s="1" t="n">
        <v>45877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30517-2022</t>
        </is>
      </c>
      <c r="B520" s="1" t="n">
        <v>44762</v>
      </c>
      <c r="C520" s="1" t="n">
        <v>45877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30529-2022</t>
        </is>
      </c>
      <c r="B521" s="1" t="n">
        <v>44762</v>
      </c>
      <c r="C521" s="1" t="n">
        <v>45877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30534-2022</t>
        </is>
      </c>
      <c r="B522" s="1" t="n">
        <v>44762</v>
      </c>
      <c r="C522" s="1" t="n">
        <v>45877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30541-2022</t>
        </is>
      </c>
      <c r="B523" s="1" t="n">
        <v>44762</v>
      </c>
      <c r="C523" s="1" t="n">
        <v>45877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30507-2022</t>
        </is>
      </c>
      <c r="B524" s="1" t="n">
        <v>44762</v>
      </c>
      <c r="C524" s="1" t="n">
        <v>45877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30514-2022</t>
        </is>
      </c>
      <c r="B525" s="1" t="n">
        <v>44762</v>
      </c>
      <c r="C525" s="1" t="n">
        <v>45877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30533-2022</t>
        </is>
      </c>
      <c r="B526" s="1" t="n">
        <v>44762</v>
      </c>
      <c r="C526" s="1" t="n">
        <v>45877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30511-2022</t>
        </is>
      </c>
      <c r="B527" s="1" t="n">
        <v>44762</v>
      </c>
      <c r="C527" s="1" t="n">
        <v>45877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31415-2022</t>
        </is>
      </c>
      <c r="B528" s="1" t="n">
        <v>44774</v>
      </c>
      <c r="C528" s="1" t="n">
        <v>45877</v>
      </c>
      <c r="D528" t="inlineStr">
        <is>
          <t>BLEKINGE LÄN</t>
        </is>
      </c>
      <c r="E528" t="inlineStr">
        <is>
          <t>RONNEBY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31577-2022</t>
        </is>
      </c>
      <c r="B529" s="1" t="n">
        <v>44775</v>
      </c>
      <c r="C529" s="1" t="n">
        <v>45877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31567-2022</t>
        </is>
      </c>
      <c r="B530" s="1" t="n">
        <v>44775</v>
      </c>
      <c r="C530" s="1" t="n">
        <v>45877</v>
      </c>
      <c r="D530" t="inlineStr">
        <is>
          <t>BLEKINGE LÄN</t>
        </is>
      </c>
      <c r="E530" t="inlineStr">
        <is>
          <t>RONNEBY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32076-2022</t>
        </is>
      </c>
      <c r="B531" s="1" t="n">
        <v>44778</v>
      </c>
      <c r="C531" s="1" t="n">
        <v>45877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33834-2022</t>
        </is>
      </c>
      <c r="B532" s="1" t="n">
        <v>44790</v>
      </c>
      <c r="C532" s="1" t="n">
        <v>45877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35863-2022</t>
        </is>
      </c>
      <c r="B533" s="1" t="n">
        <v>44798</v>
      </c>
      <c r="C533" s="1" t="n">
        <v>45877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36947-2022</t>
        </is>
      </c>
      <c r="B534" s="1" t="n">
        <v>44806</v>
      </c>
      <c r="C534" s="1" t="n">
        <v>45877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36946-2022</t>
        </is>
      </c>
      <c r="B535" s="1" t="n">
        <v>44806</v>
      </c>
      <c r="C535" s="1" t="n">
        <v>45877</v>
      </c>
      <c r="D535" t="inlineStr">
        <is>
          <t>BLEKINGE LÄN</t>
        </is>
      </c>
      <c r="E535" t="inlineStr">
        <is>
          <t>RONNEBY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37184-2022</t>
        </is>
      </c>
      <c r="B536" s="1" t="n">
        <v>44806</v>
      </c>
      <c r="C536" s="1" t="n">
        <v>45877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37200-2022</t>
        </is>
      </c>
      <c r="B537" s="1" t="n">
        <v>44806</v>
      </c>
      <c r="C537" s="1" t="n">
        <v>45877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37411-2022</t>
        </is>
      </c>
      <c r="B538" s="1" t="n">
        <v>44809</v>
      </c>
      <c r="C538" s="1" t="n">
        <v>45877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38401-2022</t>
        </is>
      </c>
      <c r="B539" s="1" t="n">
        <v>44812</v>
      </c>
      <c r="C539" s="1" t="n">
        <v>45877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39032-2022</t>
        </is>
      </c>
      <c r="B540" s="1" t="n">
        <v>44817</v>
      </c>
      <c r="C540" s="1" t="n">
        <v>45877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39133-2022</t>
        </is>
      </c>
      <c r="B541" s="1" t="n">
        <v>44817</v>
      </c>
      <c r="C541" s="1" t="n">
        <v>45877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39925-2022</t>
        </is>
      </c>
      <c r="B542" s="1" t="n">
        <v>44819</v>
      </c>
      <c r="C542" s="1" t="n">
        <v>45877</v>
      </c>
      <c r="D542" t="inlineStr">
        <is>
          <t>BLEKINGE LÄN</t>
        </is>
      </c>
      <c r="E542" t="inlineStr">
        <is>
          <t>RONNEBY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40300-2022</t>
        </is>
      </c>
      <c r="B543" s="1" t="n">
        <v>44822</v>
      </c>
      <c r="C543" s="1" t="n">
        <v>45877</v>
      </c>
      <c r="D543" t="inlineStr">
        <is>
          <t>BLEKINGE LÄN</t>
        </is>
      </c>
      <c r="E543" t="inlineStr">
        <is>
          <t>RONNEBY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41148-2022</t>
        </is>
      </c>
      <c r="B544" s="1" t="n">
        <v>44825</v>
      </c>
      <c r="C544" s="1" t="n">
        <v>45877</v>
      </c>
      <c r="D544" t="inlineStr">
        <is>
          <t>BLEKINGE LÄN</t>
        </is>
      </c>
      <c r="E544" t="inlineStr">
        <is>
          <t>RONNEBY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41149-2022</t>
        </is>
      </c>
      <c r="B545" s="1" t="n">
        <v>44825</v>
      </c>
      <c r="C545" s="1" t="n">
        <v>45877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41153-2022</t>
        </is>
      </c>
      <c r="B546" s="1" t="n">
        <v>44825</v>
      </c>
      <c r="C546" s="1" t="n">
        <v>45877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41154-2022</t>
        </is>
      </c>
      <c r="B547" s="1" t="n">
        <v>44825</v>
      </c>
      <c r="C547" s="1" t="n">
        <v>45877</v>
      </c>
      <c r="D547" t="inlineStr">
        <is>
          <t>BLEKINGE LÄN</t>
        </is>
      </c>
      <c r="E547" t="inlineStr">
        <is>
          <t>RONNEBY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41588-2022</t>
        </is>
      </c>
      <c r="B548" s="1" t="n">
        <v>44827</v>
      </c>
      <c r="C548" s="1" t="n">
        <v>45877</v>
      </c>
      <c r="D548" t="inlineStr">
        <is>
          <t>BLEKINGE LÄN</t>
        </is>
      </c>
      <c r="E548" t="inlineStr">
        <is>
          <t>RONNEBY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41875-2022</t>
        </is>
      </c>
      <c r="B549" s="1" t="n">
        <v>44830</v>
      </c>
      <c r="C549" s="1" t="n">
        <v>45877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42235-2022</t>
        </is>
      </c>
      <c r="B550" s="1" t="n">
        <v>44830</v>
      </c>
      <c r="C550" s="1" t="n">
        <v>45877</v>
      </c>
      <c r="D550" t="inlineStr">
        <is>
          <t>BLEKINGE LÄN</t>
        </is>
      </c>
      <c r="E550" t="inlineStr">
        <is>
          <t>RONNEBY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43263-2022</t>
        </is>
      </c>
      <c r="B551" s="1" t="n">
        <v>44834</v>
      </c>
      <c r="C551" s="1" t="n">
        <v>45877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45578-2022</t>
        </is>
      </c>
      <c r="B552" s="1" t="n">
        <v>44845</v>
      </c>
      <c r="C552" s="1" t="n">
        <v>45877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45522-2022</t>
        </is>
      </c>
      <c r="B553" s="1" t="n">
        <v>44845</v>
      </c>
      <c r="C553" s="1" t="n">
        <v>45877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46542-2022</t>
        </is>
      </c>
      <c r="B554" s="1" t="n">
        <v>44848</v>
      </c>
      <c r="C554" s="1" t="n">
        <v>45877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46544-2022</t>
        </is>
      </c>
      <c r="B555" s="1" t="n">
        <v>44848</v>
      </c>
      <c r="C555" s="1" t="n">
        <v>45877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46945-2022</t>
        </is>
      </c>
      <c r="B556" s="1" t="n">
        <v>44851</v>
      </c>
      <c r="C556" s="1" t="n">
        <v>45877</v>
      </c>
      <c r="D556" t="inlineStr">
        <is>
          <t>BLEKINGE LÄN</t>
        </is>
      </c>
      <c r="E556" t="inlineStr">
        <is>
          <t>RONNEBY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47488-2022</t>
        </is>
      </c>
      <c r="B557" s="1" t="n">
        <v>44853</v>
      </c>
      <c r="C557" s="1" t="n">
        <v>45877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47481-2022</t>
        </is>
      </c>
      <c r="B558" s="1" t="n">
        <v>44853</v>
      </c>
      <c r="C558" s="1" t="n">
        <v>45877</v>
      </c>
      <c r="D558" t="inlineStr">
        <is>
          <t>BLEKINGE LÄN</t>
        </is>
      </c>
      <c r="E558" t="inlineStr">
        <is>
          <t>RONNEBY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48668-2022</t>
        </is>
      </c>
      <c r="B559" s="1" t="n">
        <v>44854</v>
      </c>
      <c r="C559" s="1" t="n">
        <v>45877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48969-2022</t>
        </is>
      </c>
      <c r="B560" s="1" t="n">
        <v>44860</v>
      </c>
      <c r="C560" s="1" t="n">
        <v>45877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49149-2022</t>
        </is>
      </c>
      <c r="B561" s="1" t="n">
        <v>44860</v>
      </c>
      <c r="C561" s="1" t="n">
        <v>45877</v>
      </c>
      <c r="D561" t="inlineStr">
        <is>
          <t>BLEKINGE LÄN</t>
        </is>
      </c>
      <c r="E561" t="inlineStr">
        <is>
          <t>RONNEBY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50792-2022</t>
        </is>
      </c>
      <c r="B562" s="1" t="n">
        <v>44862</v>
      </c>
      <c r="C562" s="1" t="n">
        <v>45877</v>
      </c>
      <c r="D562" t="inlineStr">
        <is>
          <t>BLEKINGE LÄN</t>
        </is>
      </c>
      <c r="E562" t="inlineStr">
        <is>
          <t>RONNEBY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51235-2022</t>
        </is>
      </c>
      <c r="B563" s="1" t="n">
        <v>44865</v>
      </c>
      <c r="C563" s="1" t="n">
        <v>45877</v>
      </c>
      <c r="D563" t="inlineStr">
        <is>
          <t>BLEKINGE LÄN</t>
        </is>
      </c>
      <c r="E563" t="inlineStr">
        <is>
          <t>RONNEBY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51741-2022</t>
        </is>
      </c>
      <c r="B564" s="1" t="n">
        <v>44872</v>
      </c>
      <c r="C564" s="1" t="n">
        <v>45877</v>
      </c>
      <c r="D564" t="inlineStr">
        <is>
          <t>BLEKINGE LÄN</t>
        </is>
      </c>
      <c r="E564" t="inlineStr">
        <is>
          <t>RONNEBY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51660-2022</t>
        </is>
      </c>
      <c r="B565" s="1" t="n">
        <v>44872</v>
      </c>
      <c r="C565" s="1" t="n">
        <v>45877</v>
      </c>
      <c r="D565" t="inlineStr">
        <is>
          <t>BLEKINGE LÄN</t>
        </is>
      </c>
      <c r="E565" t="inlineStr">
        <is>
          <t>RONNEBY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53817-2022</t>
        </is>
      </c>
      <c r="B566" s="1" t="n">
        <v>44880</v>
      </c>
      <c r="C566" s="1" t="n">
        <v>45877</v>
      </c>
      <c r="D566" t="inlineStr">
        <is>
          <t>BLEKINGE LÄN</t>
        </is>
      </c>
      <c r="E566" t="inlineStr">
        <is>
          <t>RONNEBY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53837-2022</t>
        </is>
      </c>
      <c r="B567" s="1" t="n">
        <v>44880</v>
      </c>
      <c r="C567" s="1" t="n">
        <v>45877</v>
      </c>
      <c r="D567" t="inlineStr">
        <is>
          <t>BLEKINGE LÄN</t>
        </is>
      </c>
      <c r="E567" t="inlineStr">
        <is>
          <t>RONNEBY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53841-2022</t>
        </is>
      </c>
      <c r="B568" s="1" t="n">
        <v>44880</v>
      </c>
      <c r="C568" s="1" t="n">
        <v>45877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54536-2022</t>
        </is>
      </c>
      <c r="B569" s="1" t="n">
        <v>44882</v>
      </c>
      <c r="C569" s="1" t="n">
        <v>45877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54534-2022</t>
        </is>
      </c>
      <c r="B570" s="1" t="n">
        <v>44882</v>
      </c>
      <c r="C570" s="1" t="n">
        <v>45877</v>
      </c>
      <c r="D570" t="inlineStr">
        <is>
          <t>BLEKINGE LÄN</t>
        </is>
      </c>
      <c r="E570" t="inlineStr">
        <is>
          <t>RONNEBY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54532-2022</t>
        </is>
      </c>
      <c r="B571" s="1" t="n">
        <v>44882</v>
      </c>
      <c r="C571" s="1" t="n">
        <v>45877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54856-2022</t>
        </is>
      </c>
      <c r="B572" s="1" t="n">
        <v>44884</v>
      </c>
      <c r="C572" s="1" t="n">
        <v>45877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55126-2022</t>
        </is>
      </c>
      <c r="B573" s="1" t="n">
        <v>44886</v>
      </c>
      <c r="C573" s="1" t="n">
        <v>45877</v>
      </c>
      <c r="D573" t="inlineStr">
        <is>
          <t>BLEKINGE LÄN</t>
        </is>
      </c>
      <c r="E573" t="inlineStr">
        <is>
          <t>RONNEBY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55678-2022</t>
        </is>
      </c>
      <c r="B574" s="1" t="n">
        <v>44888</v>
      </c>
      <c r="C574" s="1" t="n">
        <v>45877</v>
      </c>
      <c r="D574" t="inlineStr">
        <is>
          <t>BLEKINGE LÄN</t>
        </is>
      </c>
      <c r="E574" t="inlineStr">
        <is>
          <t>RONNEBY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57622-2022</t>
        </is>
      </c>
      <c r="B575" s="1" t="n">
        <v>44890</v>
      </c>
      <c r="C575" s="1" t="n">
        <v>45877</v>
      </c>
      <c r="D575" t="inlineStr">
        <is>
          <t>BLEKINGE LÄN</t>
        </is>
      </c>
      <c r="E575" t="inlineStr">
        <is>
          <t>RONNEBY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57630-2022</t>
        </is>
      </c>
      <c r="B576" s="1" t="n">
        <v>44890</v>
      </c>
      <c r="C576" s="1" t="n">
        <v>45877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56592-2022</t>
        </is>
      </c>
      <c r="B577" s="1" t="n">
        <v>44893</v>
      </c>
      <c r="C577" s="1" t="n">
        <v>45877</v>
      </c>
      <c r="D577" t="inlineStr">
        <is>
          <t>BLEKINGE LÄN</t>
        </is>
      </c>
      <c r="E577" t="inlineStr">
        <is>
          <t>RONNEBY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58552-2022</t>
        </is>
      </c>
      <c r="B578" s="1" t="n">
        <v>44902</v>
      </c>
      <c r="C578" s="1" t="n">
        <v>45877</v>
      </c>
      <c r="D578" t="inlineStr">
        <is>
          <t>BLEKINGE LÄN</t>
        </is>
      </c>
      <c r="E578" t="inlineStr">
        <is>
          <t>RONNEBY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58556-2022</t>
        </is>
      </c>
      <c r="B579" s="1" t="n">
        <v>44902</v>
      </c>
      <c r="C579" s="1" t="n">
        <v>45877</v>
      </c>
      <c r="D579" t="inlineStr">
        <is>
          <t>BLEKINGE LÄN</t>
        </is>
      </c>
      <c r="E579" t="inlineStr">
        <is>
          <t>RONNEBY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58560-2022</t>
        </is>
      </c>
      <c r="B580" s="1" t="n">
        <v>44902</v>
      </c>
      <c r="C580" s="1" t="n">
        <v>45877</v>
      </c>
      <c r="D580" t="inlineStr">
        <is>
          <t>BLEKINGE LÄN</t>
        </is>
      </c>
      <c r="E580" t="inlineStr">
        <is>
          <t>RONNEBY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59006-2022</t>
        </is>
      </c>
      <c r="B581" s="1" t="n">
        <v>44903</v>
      </c>
      <c r="C581" s="1" t="n">
        <v>45877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59007-2022</t>
        </is>
      </c>
      <c r="B582" s="1" t="n">
        <v>44903</v>
      </c>
      <c r="C582" s="1" t="n">
        <v>45877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59676-2022</t>
        </is>
      </c>
      <c r="B583" s="1" t="n">
        <v>44908</v>
      </c>
      <c r="C583" s="1" t="n">
        <v>45877</v>
      </c>
      <c r="D583" t="inlineStr">
        <is>
          <t>BLEKINGE LÄN</t>
        </is>
      </c>
      <c r="E583" t="inlineStr">
        <is>
          <t>RONNEBY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62278-2022</t>
        </is>
      </c>
      <c r="B584" s="1" t="n">
        <v>44916</v>
      </c>
      <c r="C584" s="1" t="n">
        <v>45877</v>
      </c>
      <c r="D584" t="inlineStr">
        <is>
          <t>BLEKINGE LÄN</t>
        </is>
      </c>
      <c r="E584" t="inlineStr">
        <is>
          <t>RONNEBY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61730-2022</t>
        </is>
      </c>
      <c r="B585" s="1" t="n">
        <v>44917</v>
      </c>
      <c r="C585" s="1" t="n">
        <v>45877</v>
      </c>
      <c r="D585" t="inlineStr">
        <is>
          <t>BLEKINGE LÄN</t>
        </is>
      </c>
      <c r="E585" t="inlineStr">
        <is>
          <t>RONNEBY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61736-2022</t>
        </is>
      </c>
      <c r="B586" s="1" t="n">
        <v>44917</v>
      </c>
      <c r="C586" s="1" t="n">
        <v>45877</v>
      </c>
      <c r="D586" t="inlineStr">
        <is>
          <t>BLEKINGE LÄN</t>
        </is>
      </c>
      <c r="E586" t="inlineStr">
        <is>
          <t>RONNEBY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61740-2022</t>
        </is>
      </c>
      <c r="B587" s="1" t="n">
        <v>44917</v>
      </c>
      <c r="C587" s="1" t="n">
        <v>45877</v>
      </c>
      <c r="D587" t="inlineStr">
        <is>
          <t>BLEKINGE LÄN</t>
        </is>
      </c>
      <c r="E587" t="inlineStr">
        <is>
          <t>RONNEBY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62669-2022</t>
        </is>
      </c>
      <c r="B588" s="1" t="n">
        <v>44925</v>
      </c>
      <c r="C588" s="1" t="n">
        <v>45877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62672-2022</t>
        </is>
      </c>
      <c r="B589" s="1" t="n">
        <v>44925</v>
      </c>
      <c r="C589" s="1" t="n">
        <v>45877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680-2023</t>
        </is>
      </c>
      <c r="B590" s="1" t="n">
        <v>44925</v>
      </c>
      <c r="C590" s="1" t="n">
        <v>45877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1635-2023</t>
        </is>
      </c>
      <c r="B591" s="1" t="n">
        <v>44937</v>
      </c>
      <c r="C591" s="1" t="n">
        <v>45877</v>
      </c>
      <c r="D591" t="inlineStr">
        <is>
          <t>BLEKINGE LÄN</t>
        </is>
      </c>
      <c r="E591" t="inlineStr">
        <is>
          <t>RONNEBY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1845-2023</t>
        </is>
      </c>
      <c r="B592" s="1" t="n">
        <v>44938</v>
      </c>
      <c r="C592" s="1" t="n">
        <v>45877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1909-2023</t>
        </is>
      </c>
      <c r="B593" s="1" t="n">
        <v>44939</v>
      </c>
      <c r="C593" s="1" t="n">
        <v>45877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2656-2023</t>
        </is>
      </c>
      <c r="B594" s="1" t="n">
        <v>44944</v>
      </c>
      <c r="C594" s="1" t="n">
        <v>45877</v>
      </c>
      <c r="D594" t="inlineStr">
        <is>
          <t>BLEKINGE LÄN</t>
        </is>
      </c>
      <c r="E594" t="inlineStr">
        <is>
          <t>RONNEBY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2807-2023</t>
        </is>
      </c>
      <c r="B595" s="1" t="n">
        <v>44944</v>
      </c>
      <c r="C595" s="1" t="n">
        <v>45877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3001-2023</t>
        </is>
      </c>
      <c r="B596" s="1" t="n">
        <v>44945</v>
      </c>
      <c r="C596" s="1" t="n">
        <v>45877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3574-2023</t>
        </is>
      </c>
      <c r="B597" s="1" t="n">
        <v>44950</v>
      </c>
      <c r="C597" s="1" t="n">
        <v>45877</v>
      </c>
      <c r="D597" t="inlineStr">
        <is>
          <t>BLEKINGE LÄN</t>
        </is>
      </c>
      <c r="E597" t="inlineStr">
        <is>
          <t>RONNEBY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4470-2023</t>
        </is>
      </c>
      <c r="B598" s="1" t="n">
        <v>44956</v>
      </c>
      <c r="C598" s="1" t="n">
        <v>45877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4902-2023</t>
        </is>
      </c>
      <c r="B599" s="1" t="n">
        <v>44956</v>
      </c>
      <c r="C599" s="1" t="n">
        <v>45877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4945-2023</t>
        </is>
      </c>
      <c r="B600" s="1" t="n">
        <v>44956</v>
      </c>
      <c r="C600" s="1" t="n">
        <v>45877</v>
      </c>
      <c r="D600" t="inlineStr">
        <is>
          <t>BLEKINGE LÄN</t>
        </is>
      </c>
      <c r="E600" t="inlineStr">
        <is>
          <t>RONNEBY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5571-2023</t>
        </is>
      </c>
      <c r="B601" s="1" t="n">
        <v>44957</v>
      </c>
      <c r="C601" s="1" t="n">
        <v>45877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6510-2023</t>
        </is>
      </c>
      <c r="B602" s="1" t="n">
        <v>44966</v>
      </c>
      <c r="C602" s="1" t="n">
        <v>45877</v>
      </c>
      <c r="D602" t="inlineStr">
        <is>
          <t>BLEKINGE LÄN</t>
        </is>
      </c>
      <c r="E602" t="inlineStr">
        <is>
          <t>RONNEBY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6507-2023</t>
        </is>
      </c>
      <c r="B603" s="1" t="n">
        <v>44966</v>
      </c>
      <c r="C603" s="1" t="n">
        <v>45877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6543-2023</t>
        </is>
      </c>
      <c r="B604" s="1" t="n">
        <v>44966</v>
      </c>
      <c r="C604" s="1" t="n">
        <v>45877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6618-2023</t>
        </is>
      </c>
      <c r="B605" s="1" t="n">
        <v>44966</v>
      </c>
      <c r="C605" s="1" t="n">
        <v>45877</v>
      </c>
      <c r="D605" t="inlineStr">
        <is>
          <t>BLEKINGE LÄN</t>
        </is>
      </c>
      <c r="E605" t="inlineStr">
        <is>
          <t>RONNEBY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6741-2023</t>
        </is>
      </c>
      <c r="B606" s="1" t="n">
        <v>44966</v>
      </c>
      <c r="C606" s="1" t="n">
        <v>45877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7067-2023</t>
        </is>
      </c>
      <c r="B607" s="1" t="n">
        <v>44969</v>
      </c>
      <c r="C607" s="1" t="n">
        <v>45877</v>
      </c>
      <c r="D607" t="inlineStr">
        <is>
          <t>BLEKINGE LÄN</t>
        </is>
      </c>
      <c r="E607" t="inlineStr">
        <is>
          <t>RONNEBY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7711-2023</t>
        </is>
      </c>
      <c r="B608" s="1" t="n">
        <v>44972</v>
      </c>
      <c r="C608" s="1" t="n">
        <v>45877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7716-2023</t>
        </is>
      </c>
      <c r="B609" s="1" t="n">
        <v>44972</v>
      </c>
      <c r="C609" s="1" t="n">
        <v>45877</v>
      </c>
      <c r="D609" t="inlineStr">
        <is>
          <t>BLEKINGE LÄN</t>
        </is>
      </c>
      <c r="E609" t="inlineStr">
        <is>
          <t>RONNEBY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7820-2023</t>
        </is>
      </c>
      <c r="B610" s="1" t="n">
        <v>44973</v>
      </c>
      <c r="C610" s="1" t="n">
        <v>45877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7842-2023</t>
        </is>
      </c>
      <c r="B611" s="1" t="n">
        <v>44973</v>
      </c>
      <c r="C611" s="1" t="n">
        <v>45877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7826-2023</t>
        </is>
      </c>
      <c r="B612" s="1" t="n">
        <v>44973</v>
      </c>
      <c r="C612" s="1" t="n">
        <v>45877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7835-2023</t>
        </is>
      </c>
      <c r="B613" s="1" t="n">
        <v>44973</v>
      </c>
      <c r="C613" s="1" t="n">
        <v>45877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8329-2023</t>
        </is>
      </c>
      <c r="B614" s="1" t="n">
        <v>44974</v>
      </c>
      <c r="C614" s="1" t="n">
        <v>45877</v>
      </c>
      <c r="D614" t="inlineStr">
        <is>
          <t>BLEKINGE LÄN</t>
        </is>
      </c>
      <c r="E614" t="inlineStr">
        <is>
          <t>RONNEBY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8330-2023</t>
        </is>
      </c>
      <c r="B615" s="1" t="n">
        <v>44974</v>
      </c>
      <c r="C615" s="1" t="n">
        <v>45877</v>
      </c>
      <c r="D615" t="inlineStr">
        <is>
          <t>BLEKINGE LÄN</t>
        </is>
      </c>
      <c r="E615" t="inlineStr">
        <is>
          <t>RONNEBY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9299-2023</t>
        </is>
      </c>
      <c r="B616" s="1" t="n">
        <v>44980</v>
      </c>
      <c r="C616" s="1" t="n">
        <v>45877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9302-2023</t>
        </is>
      </c>
      <c r="B617" s="1" t="n">
        <v>44980</v>
      </c>
      <c r="C617" s="1" t="n">
        <v>45877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9310-2023</t>
        </is>
      </c>
      <c r="B618" s="1" t="n">
        <v>44980</v>
      </c>
      <c r="C618" s="1" t="n">
        <v>45877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9504-2023</t>
        </is>
      </c>
      <c r="B619" s="1" t="n">
        <v>44981</v>
      </c>
      <c r="C619" s="1" t="n">
        <v>45877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45877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45877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45877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45877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45877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45877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45877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45877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45877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45877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45877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45877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45877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45877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45877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45877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45877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45877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45877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45877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45877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45877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45877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45877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45877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45877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45877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45877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45877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45877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45877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45877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45877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45877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45877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45877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45877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45877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45877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45877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45877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45877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45877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45877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45877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45877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45877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45877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45877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45877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45877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45877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45877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45877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45877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45877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45877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45877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45877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45877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45877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45877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45877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45877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45877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45877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45877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45877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45877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45877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45877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45877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45877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45877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45877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45877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45877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45877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45877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45877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45877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45877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45877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45877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45877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45877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45877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45877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45877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45877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45877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45877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45877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45877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45877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45877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45877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45877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45877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45877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45877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45877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45877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45877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45877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45877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45877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45877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45877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45877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45877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45877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45877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45877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45877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45877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45877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45877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45877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45877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45877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45877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45877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45877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45877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45877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45877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45877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45877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45877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45877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45877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45877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45877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45877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45877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45877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45877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45877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45877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45877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45877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45877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45877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45877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45877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45877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45877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45877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45877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45877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45877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45877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45877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45877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45877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45877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45877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45877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45877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45877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45877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45877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45877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45877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45877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45877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45877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45877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45877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45877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45877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45877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45877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45877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45877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45877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45877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45877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45877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45877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45877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45877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45877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45877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45877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45877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45877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45877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45877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45877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45877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45877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45877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45877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45877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45877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45877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45877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45877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45877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45877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45877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45877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45877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45877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45877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45877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45877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45877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45877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45877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45877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45877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45877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45877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45877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45877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45877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45877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45877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45877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45877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45877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45877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45877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45877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45877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45877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45877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45877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45877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45877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45877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45877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45877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45877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45877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45877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45877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45877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45877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45877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45877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45877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45877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45877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45877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45877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45877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45877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45877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45877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45877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45877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45877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45877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45877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45877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45877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45877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45877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45877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45877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45877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45877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45877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45877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45877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45877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45877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45877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45877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45877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45877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45877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45877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45877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45877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45877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45877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45877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45877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45877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45877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45877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45877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45877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45877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45877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45877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45877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45877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45877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45877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45877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45877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45877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45877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45877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45877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45877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45877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45877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45877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45877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45877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45877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45877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45877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45877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45877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45877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45877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45877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45877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45877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45877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45877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45877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45877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45877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45877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45877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45877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45877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45877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45877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45877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45877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45877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45877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45877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45877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45877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45877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45877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45877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45877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45877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45877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45877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45877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45877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45877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45877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45877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45877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45877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45877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45877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45877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45877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45877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45877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45877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45877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45877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45877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45877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45877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45877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45877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45877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45877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45877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45877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45877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45877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45877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45877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45877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45877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45877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45877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45877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45877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45877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45877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45877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45877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45877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45877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45877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45877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45877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45877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45877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45877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45877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45877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45877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45877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45877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45877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45877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45877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45877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45877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45877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45877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45877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45877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45877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45877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45877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45877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45877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45877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45877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45877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45877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45877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45877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45877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45877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45877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45877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45877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45877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45877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45877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45877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45877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45877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45877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45877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45877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45877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45877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45877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45877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45877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45877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45877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45877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45877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45877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45877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45877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45877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45877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45877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45877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45877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45877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45877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45877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45877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45877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45877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45877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45877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45877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45877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45877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45877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45877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45877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45877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45877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45877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45877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45877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45877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45877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45877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45877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45877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45877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45877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45877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45877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45877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45877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45877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45877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45877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45877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45877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45877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45877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45877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45877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45877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45877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45877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45877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45877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45877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45877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45877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45877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45877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45877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45877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45877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45877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45877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45877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45877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45877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45877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45877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45877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45877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45877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45877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45877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45877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45877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45877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45877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45877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45877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45877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45877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45877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45877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45877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45877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45877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45877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45877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45877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45877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45877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45877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45877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45877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45877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45877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45877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45877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45877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45877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45877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45877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45877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45877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45877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45877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45877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45877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45877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45877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45877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45877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45877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45877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45877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45877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45877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45877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45877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45877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45877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45877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45877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45877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45877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45877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45877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45877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45877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45877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45877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45877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45877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45877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45877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45877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45877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45877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45877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45877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45877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45877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45877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45877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45877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45877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45877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45877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45877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45877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45877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45877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45877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45877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45877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45877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45877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45877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45877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45877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45877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45877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45877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45877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45877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45877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45877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45877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45877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45877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45877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45877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45877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45877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45877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45877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45877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45877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45877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45877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45877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45877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45877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45877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45877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45877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45877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45877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45877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45877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45877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45877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45877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45877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45877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45877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45877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45877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45877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45877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45877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45877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45877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45877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45877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45877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45877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45877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45877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45877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45877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45877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45877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45877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45877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45877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45877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45877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45877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45877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45877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45877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45877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45877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45877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45877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45877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45877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45877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</v>
      </c>
      <c r="C1285" s="1" t="n">
        <v>45877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30227-2025</t>
        </is>
      </c>
      <c r="B1286" s="1" t="n">
        <v>45827</v>
      </c>
      <c r="C1286" s="1" t="n">
        <v>45877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45877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45877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45877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45877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32130-2025</t>
        </is>
      </c>
      <c r="B1291" s="1" t="n">
        <v>45835</v>
      </c>
      <c r="C1291" s="1" t="n">
        <v>45877</v>
      </c>
      <c r="D1291" t="inlineStr">
        <is>
          <t>BLEKINGE LÄN</t>
        </is>
      </c>
      <c r="E1291" t="inlineStr">
        <is>
          <t>RONNEBY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32142-2025</t>
        </is>
      </c>
      <c r="B1292" s="1" t="n">
        <v>45835</v>
      </c>
      <c r="C1292" s="1" t="n">
        <v>45877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32692-2025</t>
        </is>
      </c>
      <c r="B1293" s="1" t="n">
        <v>45838</v>
      </c>
      <c r="C1293" s="1" t="n">
        <v>45877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32701-2025</t>
        </is>
      </c>
      <c r="B1294" s="1" t="n">
        <v>45838</v>
      </c>
      <c r="C1294" s="1" t="n">
        <v>45877</v>
      </c>
      <c r="D1294" t="inlineStr">
        <is>
          <t>BLEKINGE LÄN</t>
        </is>
      </c>
      <c r="E1294" t="inlineStr">
        <is>
          <t>RONNEBY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32716-2025</t>
        </is>
      </c>
      <c r="B1295" s="1" t="n">
        <v>45838</v>
      </c>
      <c r="C1295" s="1" t="n">
        <v>45877</v>
      </c>
      <c r="D1295" t="inlineStr">
        <is>
          <t>BLEKINGE LÄN</t>
        </is>
      </c>
      <c r="E1295" t="inlineStr">
        <is>
          <t>RONNEBY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33058-2025</t>
        </is>
      </c>
      <c r="B1296" s="1" t="n">
        <v>45840</v>
      </c>
      <c r="C1296" s="1" t="n">
        <v>45877</v>
      </c>
      <c r="D1296" t="inlineStr">
        <is>
          <t>BLEKINGE LÄN</t>
        </is>
      </c>
      <c r="E1296" t="inlineStr">
        <is>
          <t>RONNEBY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33598-2025</t>
        </is>
      </c>
      <c r="B1297" s="1" t="n">
        <v>45841</v>
      </c>
      <c r="C1297" s="1" t="n">
        <v>45877</v>
      </c>
      <c r="D1297" t="inlineStr">
        <is>
          <t>BLEKINGE LÄN</t>
        </is>
      </c>
      <c r="E1297" t="inlineStr">
        <is>
          <t>RONNEBY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33604-2025</t>
        </is>
      </c>
      <c r="B1298" s="1" t="n">
        <v>45841</v>
      </c>
      <c r="C1298" s="1" t="n">
        <v>45877</v>
      </c>
      <c r="D1298" t="inlineStr">
        <is>
          <t>BLEKINGE LÄN</t>
        </is>
      </c>
      <c r="E1298" t="inlineStr">
        <is>
          <t>RONNEBY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33535-2025</t>
        </is>
      </c>
      <c r="B1299" s="1" t="n">
        <v>45841</v>
      </c>
      <c r="C1299" s="1" t="n">
        <v>45877</v>
      </c>
      <c r="D1299" t="inlineStr">
        <is>
          <t>BLEKINGE LÄN</t>
        </is>
      </c>
      <c r="E1299" t="inlineStr">
        <is>
          <t>RONNEBY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33818-2025</t>
        </is>
      </c>
      <c r="B1300" s="1" t="n">
        <v>45842</v>
      </c>
      <c r="C1300" s="1" t="n">
        <v>45877</v>
      </c>
      <c r="D1300" t="inlineStr">
        <is>
          <t>BLEKINGE LÄN</t>
        </is>
      </c>
      <c r="E1300" t="inlineStr">
        <is>
          <t>RONNEBY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33986-2025</t>
        </is>
      </c>
      <c r="B1301" s="1" t="n">
        <v>45843</v>
      </c>
      <c r="C1301" s="1" t="n">
        <v>45877</v>
      </c>
      <c r="D1301" t="inlineStr">
        <is>
          <t>BLEKINGE LÄN</t>
        </is>
      </c>
      <c r="E1301" t="inlineStr">
        <is>
          <t>RONNEBY</t>
        </is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33989-2025</t>
        </is>
      </c>
      <c r="B1302" s="1" t="n">
        <v>45843</v>
      </c>
      <c r="C1302" s="1" t="n">
        <v>45877</v>
      </c>
      <c r="D1302" t="inlineStr">
        <is>
          <t>BLEKINGE LÄN</t>
        </is>
      </c>
      <c r="E1302" t="inlineStr">
        <is>
          <t>RONNEBY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33987-2025</t>
        </is>
      </c>
      <c r="B1303" s="1" t="n">
        <v>45843</v>
      </c>
      <c r="C1303" s="1" t="n">
        <v>45877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33988-2025</t>
        </is>
      </c>
      <c r="B1304" s="1" t="n">
        <v>45843</v>
      </c>
      <c r="C1304" s="1" t="n">
        <v>45877</v>
      </c>
      <c r="D1304" t="inlineStr">
        <is>
          <t>BLEKINGE LÄN</t>
        </is>
      </c>
      <c r="E1304" t="inlineStr">
        <is>
          <t>RONNEBY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34066-2025</t>
        </is>
      </c>
      <c r="B1305" s="1" t="n">
        <v>45845</v>
      </c>
      <c r="C1305" s="1" t="n">
        <v>45877</v>
      </c>
      <c r="D1305" t="inlineStr">
        <is>
          <t>BLEKINGE LÄN</t>
        </is>
      </c>
      <c r="E1305" t="inlineStr">
        <is>
          <t>RONNEBY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34068-2025</t>
        </is>
      </c>
      <c r="B1306" s="1" t="n">
        <v>45845</v>
      </c>
      <c r="C1306" s="1" t="n">
        <v>45877</v>
      </c>
      <c r="D1306" t="inlineStr">
        <is>
          <t>BLEKINGE LÄN</t>
        </is>
      </c>
      <c r="E1306" t="inlineStr">
        <is>
          <t>RONNEBY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34098-2025</t>
        </is>
      </c>
      <c r="B1307" s="1" t="n">
        <v>45845</v>
      </c>
      <c r="C1307" s="1" t="n">
        <v>45877</v>
      </c>
      <c r="D1307" t="inlineStr">
        <is>
          <t>BLEKINGE LÄN</t>
        </is>
      </c>
      <c r="E1307" t="inlineStr">
        <is>
          <t>RONNEBY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34302-2025</t>
        </is>
      </c>
      <c r="B1308" s="1" t="n">
        <v>45846</v>
      </c>
      <c r="C1308" s="1" t="n">
        <v>45877</v>
      </c>
      <c r="D1308" t="inlineStr">
        <is>
          <t>BLEKINGE LÄN</t>
        </is>
      </c>
      <c r="E1308" t="inlineStr">
        <is>
          <t>RONNEBY</t>
        </is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34307-2025</t>
        </is>
      </c>
      <c r="B1309" s="1" t="n">
        <v>45846</v>
      </c>
      <c r="C1309" s="1" t="n">
        <v>45877</v>
      </c>
      <c r="D1309" t="inlineStr">
        <is>
          <t>BLEKINGE LÄN</t>
        </is>
      </c>
      <c r="E1309" t="inlineStr">
        <is>
          <t>RONNEBY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35073-2025</t>
        </is>
      </c>
      <c r="B1310" s="1" t="n">
        <v>45852</v>
      </c>
      <c r="C1310" s="1" t="n">
        <v>45877</v>
      </c>
      <c r="D1310" t="inlineStr">
        <is>
          <t>BLEKINGE LÄN</t>
        </is>
      </c>
      <c r="E1310" t="inlineStr">
        <is>
          <t>RONNEBY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35396-2025</t>
        </is>
      </c>
      <c r="B1311" s="1" t="n">
        <v>45855</v>
      </c>
      <c r="C1311" s="1" t="n">
        <v>45877</v>
      </c>
      <c r="D1311" t="inlineStr">
        <is>
          <t>BLEKINGE LÄN</t>
        </is>
      </c>
      <c r="E1311" t="inlineStr">
        <is>
          <t>RONNEBY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35580-2025</t>
        </is>
      </c>
      <c r="B1312" s="1" t="n">
        <v>45856</v>
      </c>
      <c r="C1312" s="1" t="n">
        <v>45877</v>
      </c>
      <c r="D1312" t="inlineStr">
        <is>
          <t>BLEKINGE LÄN</t>
        </is>
      </c>
      <c r="E1312" t="inlineStr">
        <is>
          <t>RONNEBY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>
      <c r="A1313" t="inlineStr">
        <is>
          <t>A 37328-2025</t>
        </is>
      </c>
      <c r="B1313" s="1" t="n">
        <v>45876</v>
      </c>
      <c r="C1313" s="1" t="n">
        <v>45877</v>
      </c>
      <c r="D1313" t="inlineStr">
        <is>
          <t>BLEKINGE LÄN</t>
        </is>
      </c>
      <c r="E1313" t="inlineStr">
        <is>
          <t>RONNEBY</t>
        </is>
      </c>
      <c r="F1313" t="inlineStr">
        <is>
          <t>Övriga Aktiebolag</t>
        </is>
      </c>
      <c r="G1313" t="n">
        <v>10.1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2025-08-09T00:57:48Z</dcterms:created>
  <dcterms:modified xmlns:dcterms="http://purl.org/dc/terms/" xmlns:xsi="http://www.w3.org/2001/XMLSchema-instance" xsi:type="dcterms:W3CDTF">2025-08-09T00:57:49Z</dcterms:modified>
</cp:coreProperties>
</file>