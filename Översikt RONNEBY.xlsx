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46307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46307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46307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46307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46307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46307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46307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46307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46307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46307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46307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46307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36463-2023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45152</v>
      </c>
      <c r="E22" s="1" t="n">
        <v>46307</v>
      </c>
      <c r="F22" t="inlineStr">
        <is>
          <t>BLEKINGE LÄN</t>
        </is>
      </c>
      <c r="G22" t="inlineStr">
        <is>
          <t>RONNEBY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0</v>
      </c>
      <c r="V22" s="2" t="inlineStr">
        <is>
          <t>Murgröna
Rostfläck</t>
        </is>
      </c>
      <c r="W22">
        <f>HYPERLINK("https://klasma.github.io/Logging_1081/artfynd/A 36463-2023 artfynd.xlsx", "A 36463-2023")</f>
        <v/>
      </c>
      <c r="X22">
        <f>HYPERLINK("https://klasma.github.io/Logging_1081/kartor/A 36463-2023 karta.png", "A 36463-2023")</f>
        <v/>
      </c>
      <c r="Y22">
        <f>HYPERLINK("https://klasma.github.io/Logging_1081/kartor_geotiff/A 36463-2023 georefererad karta.tif", "A 36463-2023")</f>
        <v/>
      </c>
      <c r="AA22">
        <f>HYPERLINK("https://klasma.github.io/Logging_1081/klagomål/A 36463-2023 FSC-klagomål.docx", "A 36463-2023")</f>
        <v/>
      </c>
      <c r="AB22">
        <f>HYPERLINK("https://klasma.github.io/Logging_1081/klagomålsmail/A 36463-2023 FSC-klagomål mail.docx", "A 36463-2023")</f>
        <v/>
      </c>
      <c r="AC22">
        <f>HYPERLINK("https://klasma.github.io/Logging_1081/tillsyn/A 36463-2023 tillsynsbegäran.docx", "A 36463-2023")</f>
        <v/>
      </c>
      <c r="AD22">
        <f>HYPERLINK("https://klasma.github.io/Logging_1081/tillsynsmail/A 36463-2023 tillsynsbegäran mail.docx", "A 36463-2023")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46307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46307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46307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14625-2022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46307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7.3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Havstulpanlav
Klippfrullania</t>
        </is>
      </c>
      <c r="W26">
        <f>HYPERLINK("https://klasma.github.io/Logging_1081/artfynd/A 14625-2022 artfynd.xlsx", "A 14625-2022")</f>
        <v/>
      </c>
      <c r="X26">
        <f>HYPERLINK("https://klasma.github.io/Logging_1081/kartor/A 14625-2022 karta.png", "A 14625-2022")</f>
        <v/>
      </c>
      <c r="Y26">
        <f>HYPERLINK("https://klasma.github.io/Logging_1081/kartor_geotiff/A 14625-2022 georefererad karta.tif", "A 14625-2022")</f>
        <v/>
      </c>
      <c r="AA26">
        <f>HYPERLINK("https://klasma.github.io/Logging_1081/klagomål/A 14625-2022 FSC-klagomål.docx", "A 14625-2022")</f>
        <v/>
      </c>
      <c r="AB26">
        <f>HYPERLINK("https://klasma.github.io/Logging_1081/klagomålsmail/A 14625-2022 FSC-klagomål mail.docx", "A 14625-2022")</f>
        <v/>
      </c>
      <c r="AC26">
        <f>HYPERLINK("https://klasma.github.io/Logging_1081/tillsyn/A 14625-2022 tillsynsbegäran.docx", "A 14625-2022")</f>
        <v/>
      </c>
      <c r="AD26">
        <f>HYPERLINK("https://klasma.github.io/Logging_1081/tillsynsmail/A 14625-2022 tillsynsbegäran mail.docx", "A 14625-2022")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46307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Svarthakad buskskvätta
Trana</t>
        </is>
      </c>
      <c r="W27">
        <f>HYPERLINK("https://klasma.github.io/Logging_1081/artfynd/A 12131-2023 artfynd.xlsx", "A 12131-2023")</f>
        <v/>
      </c>
      <c r="X27">
        <f>HYPERLINK("https://klasma.github.io/Logging_1081/kartor/A 12131-2023 karta.png", "A 12131-2023")</f>
        <v/>
      </c>
      <c r="Y27">
        <f>HYPERLINK("https://klasma.github.io/Logging_1081/kartor_geotiff/A 12131-2023 georefererad karta.tif", "A 12131-2023")</f>
        <v/>
      </c>
      <c r="AA27">
        <f>HYPERLINK("https://klasma.github.io/Logging_1081/klagomål/A 12131-2023 FSC-klagomål.docx", "A 12131-2023")</f>
        <v/>
      </c>
      <c r="AB27">
        <f>HYPERLINK("https://klasma.github.io/Logging_1081/klagomålsmail/A 12131-2023 FSC-klagomål mail.docx", "A 12131-2023")</f>
        <v/>
      </c>
      <c r="AC27">
        <f>HYPERLINK("https://klasma.github.io/Logging_1081/tillsyn/A 12131-2023 tillsynsbegäran.docx", "A 12131-2023")</f>
        <v/>
      </c>
      <c r="AD27">
        <f>HYPERLINK("https://klasma.github.io/Logging_1081/tillsynsmail/A 12131-2023 tillsynsbegäran mail.docx", "A 12131-2023")</f>
        <v/>
      </c>
      <c r="AE27">
        <f>HYPERLINK("https://klasma.github.io/Logging_1081/fåglar/A 12131-2023 prioriterade fågelarter.docx", "A 12131-2023")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46307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46307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46307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46307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41058-2024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45559</v>
      </c>
      <c r="E32" s="1" t="n">
        <v>46307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HYPERLINK("https://klasma.github.io/Logging_1081/artfynd/A 41058-2024 artfynd.xlsx", "A 41058-2024")</f>
        <v/>
      </c>
      <c r="X32">
        <f>HYPERLINK("https://klasma.github.io/Logging_1081/kartor/A 41058-2024 karta.png", "A 41058-2024")</f>
        <v/>
      </c>
      <c r="Y32">
        <f>HYPERLINK("https://klasma.github.io/Logging_1081/kartor_geotiff/A 41058-2024 georefererad karta.tif", "A 41058-2024")</f>
        <v/>
      </c>
      <c r="AA32">
        <f>HYPERLINK("https://klasma.github.io/Logging_1081/klagomål/A 41058-2024 FSC-klagomål.docx", "A 41058-2024")</f>
        <v/>
      </c>
      <c r="AB32">
        <f>HYPERLINK("https://klasma.github.io/Logging_1081/klagomålsmail/A 41058-2024 FSC-klagomål mail.docx", "A 41058-2024")</f>
        <v/>
      </c>
      <c r="AC32">
        <f>HYPERLINK("https://klasma.github.io/Logging_1081/tillsyn/A 41058-2024 tillsynsbegäran.docx", "A 41058-2024")</f>
        <v/>
      </c>
      <c r="AD32">
        <f>HYPERLINK("https://klasma.github.io/Logging_1081/tillsynsmail/A 41058-2024 tillsynsbegäran mail.docx", "A 41058-2024")</f>
        <v/>
      </c>
      <c r="AE32">
        <f>HYPERLINK("https://klasma.github.io/Logging_1081/fåglar/A 41058-2024 prioriterade fågelarter.docx", "A 41058-2024")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46307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9922-2025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45717</v>
      </c>
      <c r="E34" s="1" t="n">
        <v>46307</v>
      </c>
      <c r="F34" t="inlineStr">
        <is>
          <t>BLEKINGE LÄN</t>
        </is>
      </c>
      <c r="G34" t="inlineStr">
        <is>
          <t>RONNEBY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Trädporella</t>
        </is>
      </c>
      <c r="W34">
        <f>HYPERLINK("https://klasma.github.io/Logging_1081/artfynd/A 9922-2025 artfynd.xlsx", "A 9922-2025")</f>
        <v/>
      </c>
      <c r="X34">
        <f>HYPERLINK("https://klasma.github.io/Logging_1081/kartor/A 9922-2025 karta.png", "A 9922-2025")</f>
        <v/>
      </c>
      <c r="Y34">
        <f>HYPERLINK("https://klasma.github.io/Logging_1081/kartor_geotiff/A 9922-2025 georefererad karta.tif", "A 9922-2025")</f>
        <v/>
      </c>
      <c r="AA34">
        <f>HYPERLINK("https://klasma.github.io/Logging_1081/klagomål/A 9922-2025 FSC-klagomål.docx", "A 9922-2025")</f>
        <v/>
      </c>
      <c r="AB34">
        <f>HYPERLINK("https://klasma.github.io/Logging_1081/klagomålsmail/A 9922-2025 FSC-klagomål mail.docx", "A 9922-2025")</f>
        <v/>
      </c>
      <c r="AC34">
        <f>HYPERLINK("https://klasma.github.io/Logging_1081/tillsyn/A 9922-2025 tillsynsbegäran.docx", "A 9922-2025")</f>
        <v/>
      </c>
      <c r="AD34">
        <f>HYPERLINK("https://klasma.github.io/Logging_1081/tillsynsmail/A 9922-2025 tillsynsbegäran mail.docx", "A 9922-2025")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46307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45063</v>
      </c>
      <c r="E36" s="1" t="n">
        <v>46307</v>
      </c>
      <c r="F36" t="inlineStr">
        <is>
          <t>BLEKINGE LÄN</t>
        </is>
      </c>
      <c r="G36" t="inlineStr">
        <is>
          <t>RONNEBY</t>
        </is>
      </c>
      <c r="H36" t="inlineStr">
        <is>
          <t>Kommuner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HYPERLINK("https://klasma.github.io/Logging_1081/artfynd/A 21446-2023 artfynd.xlsx", "A 21446-2023")</f>
        <v/>
      </c>
      <c r="X36">
        <f>HYPERLINK("https://klasma.github.io/Logging_1081/kartor/A 21446-2023 karta.png", "A 21446-2023")</f>
        <v/>
      </c>
      <c r="Y36">
        <f>HYPERLINK("https://klasma.github.io/Logging_1081/kartor_geotiff/A 21446-2023 georefererad karta.tif", "A 21446-2023")</f>
        <v/>
      </c>
      <c r="AA36">
        <f>HYPERLINK("https://klasma.github.io/Logging_1081/klagomål/A 21446-2023 FSC-klagomål.docx", "A 21446-2023")</f>
        <v/>
      </c>
      <c r="AB36">
        <f>HYPERLINK("https://klasma.github.io/Logging_1081/klagomålsmail/A 21446-2023 FSC-klagomål mail.docx", "A 21446-2023")</f>
        <v/>
      </c>
      <c r="AC36">
        <f>HYPERLINK("https://klasma.github.io/Logging_1081/tillsyn/A 21446-2023 tillsynsbegäran.docx", "A 21446-2023")</f>
        <v/>
      </c>
      <c r="AD36">
        <f>HYPERLINK("https://klasma.github.io/Logging_1081/tillsynsmail/A 21446-2023 tillsynsbegäran mail.docx", "A 21446-2023")</f>
        <v/>
      </c>
    </row>
    <row r="37" ht="15" customHeight="1">
      <c r="A37" t="inlineStr">
        <is>
          <t>A 24296-2024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45457</v>
      </c>
      <c r="E37" s="1" t="n">
        <v>46307</v>
      </c>
      <c r="F37" t="inlineStr">
        <is>
          <t>BLEKINGE LÄN</t>
        </is>
      </c>
      <c r="G37" t="inlineStr">
        <is>
          <t>RONNEBY</t>
        </is>
      </c>
      <c r="I37" t="n">
        <v>12.7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HYPERLINK("https://klasma.github.io/Logging_1081/artfynd/A 24296-2024 artfynd.xlsx", "A 24296-2024")</f>
        <v/>
      </c>
      <c r="X37">
        <f>HYPERLINK("https://klasma.github.io/Logging_1081/kartor/A 24296-2024 karta.png", "A 24296-2024")</f>
        <v/>
      </c>
      <c r="Y37">
        <f>HYPERLINK("https://klasma.github.io/Logging_1081/kartor_geotiff/A 24296-2024 georefererad karta.tif", "A 24296-2024")</f>
        <v/>
      </c>
      <c r="AA37">
        <f>HYPERLINK("https://klasma.github.io/Logging_1081/klagomål/A 24296-2024 FSC-klagomål.docx", "A 24296-2024")</f>
        <v/>
      </c>
      <c r="AB37">
        <f>HYPERLINK("https://klasma.github.io/Logging_1081/klagomålsmail/A 24296-2024 FSC-klagomål mail.docx", "A 24296-2024")</f>
        <v/>
      </c>
      <c r="AC37">
        <f>HYPERLINK("https://klasma.github.io/Logging_1081/tillsyn/A 24296-2024 tillsynsbegäran.docx", "A 24296-2024")</f>
        <v/>
      </c>
      <c r="AD37">
        <f>HYPERLINK("https://klasma.github.io/Logging_1081/tillsynsmail/A 24296-2024 tillsynsbegäran mail.docx", "A 24296-2024")</f>
        <v/>
      </c>
    </row>
    <row r="38" ht="15" customHeight="1">
      <c r="A38" t="inlineStr">
        <is>
          <t>A 6431-2025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46307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HYPERLINK("https://klasma.github.io/Logging_1081/artfynd/A 6431-2025 artfynd.xlsx", "A 6431-2025")</f>
        <v/>
      </c>
      <c r="X38">
        <f>HYPERLINK("https://klasma.github.io/Logging_1081/kartor/A 6431-2025 karta.png", "A 6431-2025")</f>
        <v/>
      </c>
      <c r="Y38">
        <f>HYPERLINK("https://klasma.github.io/Logging_1081/kartor_geotiff/A 6431-2025 georefererad karta.tif", "A 6431-2025")</f>
        <v/>
      </c>
      <c r="AA38">
        <f>HYPERLINK("https://klasma.github.io/Logging_1081/klagomål/A 6431-2025 FSC-klagomål.docx", "A 6431-2025")</f>
        <v/>
      </c>
      <c r="AB38">
        <f>HYPERLINK("https://klasma.github.io/Logging_1081/klagomålsmail/A 6431-2025 FSC-klagomål mail.docx", "A 6431-2025")</f>
        <v/>
      </c>
      <c r="AC38">
        <f>HYPERLINK("https://klasma.github.io/Logging_1081/tillsyn/A 6431-2025 tillsynsbegäran.docx", "A 6431-2025")</f>
        <v/>
      </c>
      <c r="AD38">
        <f>HYPERLINK("https://klasma.github.io/Logging_1081/tillsynsmail/A 6431-2025 tillsynsbegäran mail.docx", "A 6431-2025")</f>
        <v/>
      </c>
    </row>
    <row r="39" ht="15" customHeight="1">
      <c r="A39" t="inlineStr">
        <is>
          <t>A 38228-2024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46307</v>
      </c>
      <c r="F39" t="inlineStr">
        <is>
          <t>BLEKINGE LÄN</t>
        </is>
      </c>
      <c r="G39" t="inlineStr">
        <is>
          <t>RONNEBY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HYPERLINK("https://klasma.github.io/Logging_1081/artfynd/A 38228-2024 artfynd.xlsx", "A 38228-2024")</f>
        <v/>
      </c>
      <c r="X39">
        <f>HYPERLINK("https://klasma.github.io/Logging_1081/kartor/A 38228-2024 karta.png", "A 38228-2024")</f>
        <v/>
      </c>
      <c r="Y39">
        <f>HYPERLINK("https://klasma.github.io/Logging_1081/kartor_geotiff/A 38228-2024 georefererad karta.tif", "A 38228-2024")</f>
        <v/>
      </c>
      <c r="AA39">
        <f>HYPERLINK("https://klasma.github.io/Logging_1081/klagomål/A 38228-2024 FSC-klagomål.docx", "A 38228-2024")</f>
        <v/>
      </c>
      <c r="AB39">
        <f>HYPERLINK("https://klasma.github.io/Logging_1081/klagomålsmail/A 38228-2024 FSC-klagomål mail.docx", "A 38228-2024")</f>
        <v/>
      </c>
      <c r="AC39">
        <f>HYPERLINK("https://klasma.github.io/Logging_1081/tillsyn/A 38228-2024 tillsynsbegäran.docx", "A 38228-2024")</f>
        <v/>
      </c>
      <c r="AD39">
        <f>HYPERLINK("https://klasma.github.io/Logging_1081/tillsynsmail/A 38228-2024 tillsynsbegäran mail.docx", "A 38228-2024")</f>
        <v/>
      </c>
    </row>
    <row r="40" ht="15" customHeight="1">
      <c r="A40" t="inlineStr">
        <is>
          <t>A 7842-2023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44973</v>
      </c>
      <c r="E40" s="1" t="n">
        <v>46307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HYPERLINK("https://klasma.github.io/Logging_1081/artfynd/A 7842-2023 artfynd.xlsx", "A 7842-2023")</f>
        <v/>
      </c>
      <c r="X40">
        <f>HYPERLINK("https://klasma.github.io/Logging_1081/kartor/A 7842-2023 karta.png", "A 7842-2023")</f>
        <v/>
      </c>
      <c r="Y40">
        <f>HYPERLINK("https://klasma.github.io/Logging_1081/kartor_geotiff/A 7842-2023 georefererad karta.tif", "A 7842-2023")</f>
        <v/>
      </c>
      <c r="AA40">
        <f>HYPERLINK("https://klasma.github.io/Logging_1081/klagomål/A 7842-2023 FSC-klagomål.docx", "A 7842-2023")</f>
        <v/>
      </c>
      <c r="AB40">
        <f>HYPERLINK("https://klasma.github.io/Logging_1081/klagomålsmail/A 7842-2023 FSC-klagomål mail.docx", "A 7842-2023")</f>
        <v/>
      </c>
      <c r="AC40">
        <f>HYPERLINK("https://klasma.github.io/Logging_1081/tillsyn/A 7842-2023 tillsynsbegäran.docx", "A 7842-2023")</f>
        <v/>
      </c>
      <c r="AD40">
        <f>HYPERLINK("https://klasma.github.io/Logging_1081/tillsynsmail/A 7842-2023 tillsynsbegäran mail.docx", "A 7842-2023")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46307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14940-2023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46307</v>
      </c>
      <c r="F42" t="inlineStr">
        <is>
          <t>BLEKINGE LÄN</t>
        </is>
      </c>
      <c r="G42" t="inlineStr">
        <is>
          <t>RONNEBY</t>
        </is>
      </c>
      <c r="H42" t="inlineStr">
        <is>
          <t>Övriga statliga verk och myndigheter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Grönhjon</t>
        </is>
      </c>
      <c r="W42">
        <f>HYPERLINK("https://klasma.github.io/Logging_1081/artfynd/A 14940-2023 artfynd.xlsx", "A 14940-2023")</f>
        <v/>
      </c>
      <c r="X42">
        <f>HYPERLINK("https://klasma.github.io/Logging_1081/kartor/A 14940-2023 karta.png", "A 14940-2023")</f>
        <v/>
      </c>
      <c r="Y42">
        <f>HYPERLINK("https://klasma.github.io/Logging_1081/kartor_geotiff/A 14940-2023 georefererad karta.tif", "A 14940-2023")</f>
        <v/>
      </c>
      <c r="AA42">
        <f>HYPERLINK("https://klasma.github.io/Logging_1081/klagomål/A 14940-2023 FSC-klagomål.docx", "A 14940-2023")</f>
        <v/>
      </c>
      <c r="AB42">
        <f>HYPERLINK("https://klasma.github.io/Logging_1081/klagomålsmail/A 14940-2023 FSC-klagomål mail.docx", "A 14940-2023")</f>
        <v/>
      </c>
      <c r="AC42">
        <f>HYPERLINK("https://klasma.github.io/Logging_1081/tillsyn/A 14940-2023 tillsynsbegäran.docx", "A 14940-2023")</f>
        <v/>
      </c>
      <c r="AD42">
        <f>HYPERLINK("https://klasma.github.io/Logging_1081/tillsynsmail/A 14940-2023 tillsynsbegäran mail.docx", "A 14940-2023")</f>
        <v/>
      </c>
    </row>
    <row r="43" ht="15" customHeight="1">
      <c r="A43" t="inlineStr">
        <is>
          <t>A 8961-2024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46307</v>
      </c>
      <c r="F43" t="inlineStr">
        <is>
          <t>BLEKINGE LÄN</t>
        </is>
      </c>
      <c r="G43" t="inlineStr">
        <is>
          <t>RONNEBY</t>
        </is>
      </c>
      <c r="I43" t="n">
        <v>19.7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HYPERLINK("https://klasma.github.io/Logging_1081/artfynd/A 8961-2024 artfynd.xlsx", "A 8961-2024")</f>
        <v/>
      </c>
      <c r="X43">
        <f>HYPERLINK("https://klasma.github.io/Logging_1081/kartor/A 8961-2024 karta.png", "A 8961-2024")</f>
        <v/>
      </c>
      <c r="Y43">
        <f>HYPERLINK("https://klasma.github.io/Logging_1081/kartor_geotiff/A 8961-2024 georefererad karta.tif", "A 8961-2024")</f>
        <v/>
      </c>
      <c r="AA43">
        <f>HYPERLINK("https://klasma.github.io/Logging_1081/klagomål/A 8961-2024 FSC-klagomål.docx", "A 8961-2024")</f>
        <v/>
      </c>
      <c r="AB43">
        <f>HYPERLINK("https://klasma.github.io/Logging_1081/klagomålsmail/A 8961-2024 FSC-klagomål mail.docx", "A 8961-2024")</f>
        <v/>
      </c>
      <c r="AC43">
        <f>HYPERLINK("https://klasma.github.io/Logging_1081/tillsyn/A 8961-2024 tillsynsbegäran.docx", "A 8961-2024")</f>
        <v/>
      </c>
      <c r="AD43">
        <f>HYPERLINK("https://klasma.github.io/Logging_1081/tillsynsmail/A 8961-2024 tillsynsbegäran mail.docx", "A 8961-2024")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46307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19471-2026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46133</v>
      </c>
      <c r="E45" s="1" t="n">
        <v>46307</v>
      </c>
      <c r="F45" t="inlineStr">
        <is>
          <t>BLEKINGE LÄN</t>
        </is>
      </c>
      <c r="G45" t="inlineStr">
        <is>
          <t>RONNEBY</t>
        </is>
      </c>
      <c r="I45" t="n">
        <v>1.2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19471-2026 artfynd.xlsx", "A 19471-2026")</f>
        <v/>
      </c>
      <c r="X45">
        <f>HYPERLINK("https://klasma.github.io/Logging_1081/kartor/A 19471-2026 karta.png", "A 19471-2026")</f>
        <v/>
      </c>
      <c r="Y45">
        <f>HYPERLINK("https://klasma.github.io/Logging_1081/kartor_geotiff/A 19471-2026 georefererad karta.tif", "A 19471-2026")</f>
        <v/>
      </c>
      <c r="AA45">
        <f>HYPERLINK("https://klasma.github.io/Logging_1081/klagomål/A 19471-2026 FSC-klagomål.docx", "A 19471-2026")</f>
        <v/>
      </c>
      <c r="AB45">
        <f>HYPERLINK("https://klasma.github.io/Logging_1081/klagomålsmail/A 19471-2026 FSC-klagomål mail.docx", "A 19471-2026")</f>
        <v/>
      </c>
      <c r="AC45">
        <f>HYPERLINK("https://klasma.github.io/Logging_1081/tillsyn/A 19471-2026 tillsynsbegäran.docx", "A 19471-2026")</f>
        <v/>
      </c>
      <c r="AD45">
        <f>HYPERLINK("https://klasma.github.io/Logging_1081/tillsynsmail/A 19471-2026 tillsynsbegäran mail.docx", "A 19471-2026")</f>
        <v/>
      </c>
    </row>
    <row r="46" ht="15" customHeight="1">
      <c r="A46" t="inlineStr">
        <is>
          <t>A 12660-2026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46091</v>
      </c>
      <c r="E46" s="1" t="n">
        <v>46307</v>
      </c>
      <c r="F46" t="inlineStr">
        <is>
          <t>BLEKINGE LÄN</t>
        </is>
      </c>
      <c r="G46" t="inlineStr">
        <is>
          <t>RONNEBY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12660-2026 artfynd.xlsx", "A 12660-2026")</f>
        <v/>
      </c>
      <c r="X46">
        <f>HYPERLINK("https://klasma.github.io/Logging_1081/kartor/A 12660-2026 karta.png", "A 12660-2026")</f>
        <v/>
      </c>
      <c r="Y46">
        <f>HYPERLINK("https://klasma.github.io/Logging_1081/kartor_geotiff/A 12660-2026 georefererad karta.tif", "A 12660-2026")</f>
        <v/>
      </c>
      <c r="AA46">
        <f>HYPERLINK("https://klasma.github.io/Logging_1081/klagomål/A 12660-2026 FSC-klagomål.docx", "A 12660-2026")</f>
        <v/>
      </c>
      <c r="AB46">
        <f>HYPERLINK("https://klasma.github.io/Logging_1081/klagomålsmail/A 12660-2026 FSC-klagomål mail.docx", "A 12660-2026")</f>
        <v/>
      </c>
      <c r="AC46">
        <f>HYPERLINK("https://klasma.github.io/Logging_1081/tillsyn/A 12660-2026 tillsynsbegäran.docx", "A 12660-2026")</f>
        <v/>
      </c>
      <c r="AD46">
        <f>HYPERLINK("https://klasma.github.io/Logging_1081/tillsynsmail/A 12660-2026 tillsynsbegäran mail.docx", "A 12660-2026")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46307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46307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46307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46307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46307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46307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46307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46307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46307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46307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46307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46307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46307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46307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46307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46307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46307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46307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46307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46307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46307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46307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46307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46307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46307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46307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46307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46307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46307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46307</v>
      </c>
      <c r="F81" t="inlineStr">
        <is>
          <t>BLEKINGE LÄN</t>
        </is>
      </c>
      <c r="G81" t="inlineStr">
        <is>
          <t>RONNEBY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46307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46307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46307</v>
      </c>
      <c r="F84" t="inlineStr">
        <is>
          <t>BLEKINGE LÄN</t>
        </is>
      </c>
      <c r="G84" t="inlineStr">
        <is>
          <t>RONNEBY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46307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46307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46307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46307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46307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46307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46307</v>
      </c>
      <c r="F91" t="inlineStr">
        <is>
          <t>BLEKINGE LÄN</t>
        </is>
      </c>
      <c r="G91" t="inlineStr">
        <is>
          <t>RONNEBY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46307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46307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46307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46307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46307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46307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44762</v>
      </c>
      <c r="E98" s="1" t="n">
        <v>46307</v>
      </c>
      <c r="F98" t="inlineStr">
        <is>
          <t>BLEKINGE LÄN</t>
        </is>
      </c>
      <c r="G98" t="inlineStr">
        <is>
          <t>RONNEBY</t>
        </is>
      </c>
      <c r="H98" t="inlineStr">
        <is>
          <t>Övriga Aktiebolag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44762</v>
      </c>
      <c r="E99" s="1" t="n">
        <v>46307</v>
      </c>
      <c r="F99" t="inlineStr">
        <is>
          <t>BLEKINGE LÄN</t>
        </is>
      </c>
      <c r="G99" t="inlineStr">
        <is>
          <t>RONNEBY</t>
        </is>
      </c>
      <c r="H99" t="inlineStr">
        <is>
          <t>Övriga Aktiebolag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46307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69574-2021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46307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46307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44762</v>
      </c>
      <c r="E103" s="1" t="n">
        <v>46307</v>
      </c>
      <c r="F103" t="inlineStr">
        <is>
          <t>BLEKINGE LÄN</t>
        </is>
      </c>
      <c r="G103" t="inlineStr">
        <is>
          <t>RONNEBY</t>
        </is>
      </c>
      <c r="H103" t="inlineStr">
        <is>
          <t>Övriga Aktiebolag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46307</v>
      </c>
      <c r="F104" t="inlineStr">
        <is>
          <t>BLEKINGE LÄN</t>
        </is>
      </c>
      <c r="G104" t="inlineStr">
        <is>
          <t>RONNEBY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44504</v>
      </c>
      <c r="E105" s="1" t="n">
        <v>46307</v>
      </c>
      <c r="F105" t="inlineStr">
        <is>
          <t>BLEKINGE LÄN</t>
        </is>
      </c>
      <c r="G105" t="inlineStr">
        <is>
          <t>RONNEBY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46307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46307</v>
      </c>
      <c r="F107" t="inlineStr">
        <is>
          <t>BLEKINGE LÄN</t>
        </is>
      </c>
      <c r="G107" t="inlineStr">
        <is>
          <t>RONNEBY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46307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44754</v>
      </c>
      <c r="E109" s="1" t="n">
        <v>46307</v>
      </c>
      <c r="F109" t="inlineStr">
        <is>
          <t>BLEKINGE LÄN</t>
        </is>
      </c>
      <c r="G109" t="inlineStr">
        <is>
          <t>RONNEBY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46307</v>
      </c>
      <c r="F110" t="inlineStr">
        <is>
          <t>BLEKINGE LÄN</t>
        </is>
      </c>
      <c r="G110" t="inlineStr">
        <is>
          <t>RONNEBY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46307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46307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46307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46307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46307</v>
      </c>
      <c r="F115" t="inlineStr">
        <is>
          <t>BLEKINGE LÄN</t>
        </is>
      </c>
      <c r="G115" t="inlineStr">
        <is>
          <t>RONNEBY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46307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46307</v>
      </c>
      <c r="F117" t="inlineStr">
        <is>
          <t>BLEKINGE LÄN</t>
        </is>
      </c>
      <c r="G117" t="inlineStr">
        <is>
          <t>RONNEBY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45053</v>
      </c>
      <c r="E118" s="1" t="n">
        <v>46307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46307</v>
      </c>
      <c r="F119" t="inlineStr">
        <is>
          <t>BLEKINGE LÄN</t>
        </is>
      </c>
      <c r="G119" t="inlineStr">
        <is>
          <t>RONNEBY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46307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46307</v>
      </c>
      <c r="F121" t="inlineStr">
        <is>
          <t>BLEKINGE LÄN</t>
        </is>
      </c>
      <c r="G121" t="inlineStr">
        <is>
          <t>RONNEBY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46307</v>
      </c>
      <c r="F122" t="inlineStr">
        <is>
          <t>BLEKINGE LÄN</t>
        </is>
      </c>
      <c r="G122" t="inlineStr">
        <is>
          <t>RONNEBY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46307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46307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46307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46307</v>
      </c>
      <c r="F126" t="inlineStr">
        <is>
          <t>BLEKINGE LÄN</t>
        </is>
      </c>
      <c r="G126" t="inlineStr">
        <is>
          <t>RONNEBY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46307</v>
      </c>
      <c r="F127" t="inlineStr">
        <is>
          <t>BLEKINGE LÄN</t>
        </is>
      </c>
      <c r="G127" t="inlineStr">
        <is>
          <t>RONNEBY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46307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46307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45436</v>
      </c>
      <c r="E130" s="1" t="n">
        <v>46307</v>
      </c>
      <c r="F130" t="inlineStr">
        <is>
          <t>BLEKINGE LÄN</t>
        </is>
      </c>
      <c r="G130" t="inlineStr">
        <is>
          <t>RONNEBY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45327</v>
      </c>
      <c r="E131" s="1" t="n">
        <v>46307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45402</v>
      </c>
      <c r="E132" s="1" t="n">
        <v>46307</v>
      </c>
      <c r="F132" t="inlineStr">
        <is>
          <t>BLEKINGE LÄN</t>
        </is>
      </c>
      <c r="G132" t="inlineStr">
        <is>
          <t>RONNEBY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46307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32076-2022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44778</v>
      </c>
      <c r="E134" s="1" t="n">
        <v>46307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45360</v>
      </c>
      <c r="E135" s="1" t="n">
        <v>46307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46307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46307</v>
      </c>
      <c r="F137" t="inlineStr">
        <is>
          <t>BLEKINGE LÄN</t>
        </is>
      </c>
      <c r="G137" t="inlineStr">
        <is>
          <t>RONNEBY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46307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46307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46307</v>
      </c>
      <c r="F140" t="inlineStr">
        <is>
          <t>BLEKINGE LÄN</t>
        </is>
      </c>
      <c r="G140" t="inlineStr">
        <is>
          <t>RONNEBY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46307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46307</v>
      </c>
      <c r="F142" t="inlineStr">
        <is>
          <t>BLEKINGE LÄN</t>
        </is>
      </c>
      <c r="G142" t="inlineStr">
        <is>
          <t>RONNEBY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45381</v>
      </c>
      <c r="E143" s="1" t="n">
        <v>46307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46307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46307</v>
      </c>
      <c r="F145" t="inlineStr">
        <is>
          <t>BLEKINGE LÄN</t>
        </is>
      </c>
      <c r="G145" t="inlineStr">
        <is>
          <t>RONNEBY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46307</v>
      </c>
      <c r="F146" t="inlineStr">
        <is>
          <t>BLEKINGE LÄN</t>
        </is>
      </c>
      <c r="G146" t="inlineStr">
        <is>
          <t>RONNEBY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45341</v>
      </c>
      <c r="E147" s="1" t="n">
        <v>46307</v>
      </c>
      <c r="F147" t="inlineStr">
        <is>
          <t>BLEKINGE LÄN</t>
        </is>
      </c>
      <c r="G147" t="inlineStr">
        <is>
          <t>RONNEBY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46307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45536</v>
      </c>
      <c r="E149" s="1" t="n">
        <v>46307</v>
      </c>
      <c r="F149" t="inlineStr">
        <is>
          <t>BLEKINGE LÄN</t>
        </is>
      </c>
      <c r="G149" t="inlineStr">
        <is>
          <t>RONNEBY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46307</v>
      </c>
      <c r="F150" t="inlineStr">
        <is>
          <t>BLEKINGE LÄN</t>
        </is>
      </c>
      <c r="G150" t="inlineStr">
        <is>
          <t>RONNEBY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46307</v>
      </c>
      <c r="F151" t="inlineStr">
        <is>
          <t>BLEKINGE LÄN</t>
        </is>
      </c>
      <c r="G151" t="inlineStr">
        <is>
          <t>RONNEBY</t>
        </is>
      </c>
      <c r="I151" t="n">
        <v>15.2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46307</v>
      </c>
      <c r="F152" t="inlineStr">
        <is>
          <t>BLEKINGE LÄN</t>
        </is>
      </c>
      <c r="G152" t="inlineStr">
        <is>
          <t>RONNEBY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45139</v>
      </c>
      <c r="E153" s="1" t="n">
        <v>46307</v>
      </c>
      <c r="F153" t="inlineStr">
        <is>
          <t>BLEKINGE LÄN</t>
        </is>
      </c>
      <c r="G153" t="inlineStr">
        <is>
          <t>RONNEBY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46307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46307</v>
      </c>
      <c r="F155" t="inlineStr">
        <is>
          <t>BLEKINGE LÄN</t>
        </is>
      </c>
      <c r="G155" t="inlineStr">
        <is>
          <t>RONNEBY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46307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45360</v>
      </c>
      <c r="E157" s="1" t="n">
        <v>46307</v>
      </c>
      <c r="F157" t="inlineStr">
        <is>
          <t>BLEKINGE LÄN</t>
        </is>
      </c>
      <c r="G157" t="inlineStr">
        <is>
          <t>RONNEBY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46307</v>
      </c>
      <c r="F158" t="inlineStr">
        <is>
          <t>BLEKINGE LÄN</t>
        </is>
      </c>
      <c r="G158" t="inlineStr">
        <is>
          <t>RONNEBY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45121</v>
      </c>
      <c r="E159" s="1" t="n">
        <v>46307</v>
      </c>
      <c r="F159" t="inlineStr">
        <is>
          <t>BLEKINGE LÄN</t>
        </is>
      </c>
      <c r="G159" t="inlineStr">
        <is>
          <t>RONNEBY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46307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45505</v>
      </c>
      <c r="E161" s="1" t="n">
        <v>46307</v>
      </c>
      <c r="F161" t="inlineStr">
        <is>
          <t>BLEKINGE LÄN</t>
        </is>
      </c>
      <c r="G161" t="inlineStr">
        <is>
          <t>RONNEBY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46307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46307</v>
      </c>
      <c r="F163" t="inlineStr">
        <is>
          <t>BLEKINGE LÄN</t>
        </is>
      </c>
      <c r="G163" t="inlineStr">
        <is>
          <t>RONNEBY</t>
        </is>
      </c>
      <c r="I163" t="n">
        <v>14.4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46307</v>
      </c>
      <c r="F164" t="inlineStr">
        <is>
          <t>BLEKINGE LÄN</t>
        </is>
      </c>
      <c r="G164" t="inlineStr">
        <is>
          <t>RONNEBY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46307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44884</v>
      </c>
      <c r="E166" s="1" t="n">
        <v>46307</v>
      </c>
      <c r="F166" t="inlineStr">
        <is>
          <t>BLEKINGE LÄN</t>
        </is>
      </c>
      <c r="G166" t="inlineStr">
        <is>
          <t>RONNEBY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46307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46307</v>
      </c>
      <c r="F168" t="inlineStr">
        <is>
          <t>BLEKINGE LÄN</t>
        </is>
      </c>
      <c r="G168" t="inlineStr">
        <is>
          <t>RONNEBY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46307</v>
      </c>
      <c r="F169" t="inlineStr">
        <is>
          <t>BLEKINGE LÄN</t>
        </is>
      </c>
      <c r="G169" t="inlineStr">
        <is>
          <t>RONNEBY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46307</v>
      </c>
      <c r="F170" t="inlineStr">
        <is>
          <t>BLEKINGE LÄN</t>
        </is>
      </c>
      <c r="G170" t="inlineStr">
        <is>
          <t>RONNEBY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46307</v>
      </c>
      <c r="F171" t="inlineStr">
        <is>
          <t>BLEKINGE LÄN</t>
        </is>
      </c>
      <c r="G171" t="inlineStr">
        <is>
          <t>RONNEBY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45545</v>
      </c>
      <c r="E172" s="1" t="n">
        <v>46307</v>
      </c>
      <c r="F172" t="inlineStr">
        <is>
          <t>BLEKINGE LÄN</t>
        </is>
      </c>
      <c r="G172" t="inlineStr">
        <is>
          <t>RONNEBY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44774</v>
      </c>
      <c r="E173" s="1" t="n">
        <v>46307</v>
      </c>
      <c r="F173" t="inlineStr">
        <is>
          <t>BLEKINGE LÄN</t>
        </is>
      </c>
      <c r="G173" t="inlineStr">
        <is>
          <t>RONNEBY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46307</v>
      </c>
      <c r="F174" t="inlineStr">
        <is>
          <t>BLEKINGE LÄN</t>
        </is>
      </c>
      <c r="G174" t="inlineStr">
        <is>
          <t>RONNEBY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46307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46307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44753</v>
      </c>
      <c r="E177" s="1" t="n">
        <v>46307</v>
      </c>
      <c r="F177" t="inlineStr">
        <is>
          <t>BLEKINGE LÄN</t>
        </is>
      </c>
      <c r="G177" t="inlineStr">
        <is>
          <t>RONNEBY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46307</v>
      </c>
      <c r="F178" t="inlineStr">
        <is>
          <t>BLEKINGE LÄN</t>
        </is>
      </c>
      <c r="G178" t="inlineStr">
        <is>
          <t>RONNEBY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46307</v>
      </c>
      <c r="F179" t="inlineStr">
        <is>
          <t>BLEKINGE LÄN</t>
        </is>
      </c>
      <c r="G179" t="inlineStr">
        <is>
          <t>RONNEBY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46307</v>
      </c>
      <c r="F180" t="inlineStr">
        <is>
          <t>BLEKINGE LÄN</t>
        </is>
      </c>
      <c r="G180" t="inlineStr">
        <is>
          <t>RONNEBY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46307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46307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46307</v>
      </c>
      <c r="F183" t="inlineStr">
        <is>
          <t>BLEKINGE LÄN</t>
        </is>
      </c>
      <c r="G183" t="inlineStr">
        <is>
          <t>RONNEBY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46307</v>
      </c>
      <c r="F184" t="inlineStr">
        <is>
          <t>BLEKINGE LÄN</t>
        </is>
      </c>
      <c r="G184" t="inlineStr">
        <is>
          <t>RONNEBY</t>
        </is>
      </c>
      <c r="H184" t="inlineStr">
        <is>
          <t>Kommuner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46307</v>
      </c>
      <c r="F185" t="inlineStr">
        <is>
          <t>BLEKINGE LÄN</t>
        </is>
      </c>
      <c r="G185" t="inlineStr">
        <is>
          <t>RONNEBY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45430</v>
      </c>
      <c r="E186" s="1" t="n">
        <v>46307</v>
      </c>
      <c r="F186" t="inlineStr">
        <is>
          <t>BLEKINGE LÄN</t>
        </is>
      </c>
      <c r="G186" t="inlineStr">
        <is>
          <t>RONNEBY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46307</v>
      </c>
      <c r="F187" t="inlineStr">
        <is>
          <t>BLEKINGE LÄN</t>
        </is>
      </c>
      <c r="G187" t="inlineStr">
        <is>
          <t>RONNEBY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46307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46307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46307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46307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46307</v>
      </c>
      <c r="F192" t="inlineStr">
        <is>
          <t>BLEKINGE LÄN</t>
        </is>
      </c>
      <c r="G192" t="inlineStr">
        <is>
          <t>RONNEBY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46307</v>
      </c>
      <c r="F193" t="inlineStr">
        <is>
          <t>BLEKINGE LÄN</t>
        </is>
      </c>
      <c r="G193" t="inlineStr">
        <is>
          <t>RONNEBY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46307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46307</v>
      </c>
      <c r="F195" t="inlineStr">
        <is>
          <t>BLEKINGE LÄN</t>
        </is>
      </c>
      <c r="G195" t="inlineStr">
        <is>
          <t>RONNEBY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46307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45892</v>
      </c>
      <c r="E197" s="1" t="n">
        <v>46307</v>
      </c>
      <c r="F197" t="inlineStr">
        <is>
          <t>BLEKINGE LÄN</t>
        </is>
      </c>
      <c r="G197" t="inlineStr">
        <is>
          <t>RONNEBY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45012</v>
      </c>
      <c r="E198" s="1" t="n">
        <v>46307</v>
      </c>
      <c r="F198" t="inlineStr">
        <is>
          <t>BLEKINGE LÄN</t>
        </is>
      </c>
      <c r="G198" t="inlineStr">
        <is>
          <t>RONNEBY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46307</v>
      </c>
      <c r="F199" t="inlineStr">
        <is>
          <t>BLEKINGE LÄN</t>
        </is>
      </c>
      <c r="G199" t="inlineStr">
        <is>
          <t>RONNEBY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46307</v>
      </c>
      <c r="F200" t="inlineStr">
        <is>
          <t>BLEKINGE LÄN</t>
        </is>
      </c>
      <c r="G200" t="inlineStr">
        <is>
          <t>RONNEBY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46307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46307</v>
      </c>
      <c r="F202" t="inlineStr">
        <is>
          <t>BLEKINGE LÄN</t>
        </is>
      </c>
      <c r="G202" t="inlineStr">
        <is>
          <t>RONNEBY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46307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46307</v>
      </c>
      <c r="F204" t="inlineStr">
        <is>
          <t>BLEKINGE LÄN</t>
        </is>
      </c>
      <c r="G204" t="inlineStr">
        <is>
          <t>RONNEBY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46307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46307</v>
      </c>
      <c r="F206" t="inlineStr">
        <is>
          <t>BLEKINGE LÄN</t>
        </is>
      </c>
      <c r="G206" t="inlineStr">
        <is>
          <t>RONNEBY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46307</v>
      </c>
      <c r="F207" t="inlineStr">
        <is>
          <t>BLEKINGE LÄN</t>
        </is>
      </c>
      <c r="G207" t="inlineStr">
        <is>
          <t>RONNEBY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44950</v>
      </c>
      <c r="E208" s="1" t="n">
        <v>46307</v>
      </c>
      <c r="F208" t="inlineStr">
        <is>
          <t>BLEKINGE LÄN</t>
        </is>
      </c>
      <c r="G208" t="inlineStr">
        <is>
          <t>RONNEBY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45619</v>
      </c>
      <c r="E209" s="1" t="n">
        <v>46307</v>
      </c>
      <c r="F209" t="inlineStr">
        <is>
          <t>BLEKINGE LÄN</t>
        </is>
      </c>
      <c r="G209" t="inlineStr">
        <is>
          <t>RONNEBY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46307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46307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46307</v>
      </c>
      <c r="F212" t="inlineStr">
        <is>
          <t>BLEKINGE LÄN</t>
        </is>
      </c>
      <c r="G212" t="inlineStr">
        <is>
          <t>RONNEBY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46307</v>
      </c>
      <c r="F213" t="inlineStr">
        <is>
          <t>BLEKINGE LÄN</t>
        </is>
      </c>
      <c r="G213" t="inlineStr">
        <is>
          <t>RONNEBY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46307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46307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46307</v>
      </c>
      <c r="F216" t="inlineStr">
        <is>
          <t>BLEKINGE LÄN</t>
        </is>
      </c>
      <c r="G216" t="inlineStr">
        <is>
          <t>RONNEBY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46307</v>
      </c>
      <c r="F217" t="inlineStr">
        <is>
          <t>BLEKINGE LÄN</t>
        </is>
      </c>
      <c r="G217" t="inlineStr">
        <is>
          <t>RONNEBY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45597</v>
      </c>
      <c r="E218" s="1" t="n">
        <v>46307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46307</v>
      </c>
      <c r="F219" t="inlineStr">
        <is>
          <t>BLEKINGE LÄN</t>
        </is>
      </c>
      <c r="G219" t="inlineStr">
        <is>
          <t>RONNEBY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46307</v>
      </c>
      <c r="F220" t="inlineStr">
        <is>
          <t>BLEKINGE LÄN</t>
        </is>
      </c>
      <c r="G220" t="inlineStr">
        <is>
          <t>RONNEBY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41421-2024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46307</v>
      </c>
      <c r="F221" t="inlineStr">
        <is>
          <t>BLEKINGE LÄN</t>
        </is>
      </c>
      <c r="G221" t="inlineStr">
        <is>
          <t>RONNEBY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46307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46307</v>
      </c>
      <c r="F223" t="inlineStr">
        <is>
          <t>BLEKINGE LÄN</t>
        </is>
      </c>
      <c r="G223" t="inlineStr">
        <is>
          <t>RONNEBY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46307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46307</v>
      </c>
      <c r="F225" t="inlineStr">
        <is>
          <t>BLEKINGE LÄN</t>
        </is>
      </c>
      <c r="G225" t="inlineStr">
        <is>
          <t>RONNEBY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45394</v>
      </c>
      <c r="E226" s="1" t="n">
        <v>46307</v>
      </c>
      <c r="F226" t="inlineStr">
        <is>
          <t>BLEKINGE LÄN</t>
        </is>
      </c>
      <c r="G226" t="inlineStr">
        <is>
          <t>RONNEBY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46307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43291-2025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45910</v>
      </c>
      <c r="E228" s="1" t="n">
        <v>46307</v>
      </c>
      <c r="F228" t="inlineStr">
        <is>
          <t>BLEKINGE LÄN</t>
        </is>
      </c>
      <c r="G228" t="inlineStr">
        <is>
          <t>RONNEBY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45574</v>
      </c>
      <c r="E229" s="1" t="n">
        <v>46307</v>
      </c>
      <c r="F229" t="inlineStr">
        <is>
          <t>BLEKINGE LÄN</t>
        </is>
      </c>
      <c r="G229" t="inlineStr">
        <is>
          <t>RONNEBY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45843</v>
      </c>
      <c r="E230" s="1" t="n">
        <v>46307</v>
      </c>
      <c r="F230" t="inlineStr">
        <is>
          <t>BLEKINGE LÄN</t>
        </is>
      </c>
      <c r="G230" t="inlineStr">
        <is>
          <t>RONNEBY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45104</v>
      </c>
      <c r="E231" s="1" t="n">
        <v>46307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46307</v>
      </c>
      <c r="F232" t="inlineStr">
        <is>
          <t>BLEKINGE LÄN</t>
        </is>
      </c>
      <c r="G232" t="inlineStr">
        <is>
          <t>RONNEBY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46307</v>
      </c>
      <c r="F233" t="inlineStr">
        <is>
          <t>BLEKINGE LÄN</t>
        </is>
      </c>
      <c r="G233" t="inlineStr">
        <is>
          <t>RONNEBY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45426</v>
      </c>
      <c r="E234" s="1" t="n">
        <v>46307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46307</v>
      </c>
      <c r="F235" t="inlineStr">
        <is>
          <t>BLEKINGE LÄN</t>
        </is>
      </c>
      <c r="G235" t="inlineStr">
        <is>
          <t>RONNEBY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46307</v>
      </c>
      <c r="F236" t="inlineStr">
        <is>
          <t>BLEKINGE LÄN</t>
        </is>
      </c>
      <c r="G236" t="inlineStr">
        <is>
          <t>RONNEBY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46307</v>
      </c>
      <c r="F237" t="inlineStr">
        <is>
          <t>BLEKINGE LÄN</t>
        </is>
      </c>
      <c r="G237" t="inlineStr">
        <is>
          <t>RONNEBY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46307</v>
      </c>
      <c r="F238" t="inlineStr">
        <is>
          <t>BLEKINGE LÄN</t>
        </is>
      </c>
      <c r="G238" t="inlineStr">
        <is>
          <t>RONNEBY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46307</v>
      </c>
      <c r="F239" t="inlineStr">
        <is>
          <t>BLEKINGE LÄN</t>
        </is>
      </c>
      <c r="G239" t="inlineStr">
        <is>
          <t>RONNEBY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46307</v>
      </c>
      <c r="F240" t="inlineStr">
        <is>
          <t>BLEKINGE LÄN</t>
        </is>
      </c>
      <c r="G240" t="inlineStr">
        <is>
          <t>RONNEBY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46307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46307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46307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46307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46307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46307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46307</v>
      </c>
      <c r="F247" t="inlineStr">
        <is>
          <t>BLEKINGE LÄN</t>
        </is>
      </c>
      <c r="G247" t="inlineStr">
        <is>
          <t>RONNEBY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46307</v>
      </c>
      <c r="F248" t="inlineStr">
        <is>
          <t>BLEKINGE LÄN</t>
        </is>
      </c>
      <c r="G248" t="inlineStr">
        <is>
          <t>RONNEBY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46307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46307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45115</v>
      </c>
      <c r="E251" s="1" t="n">
        <v>46307</v>
      </c>
      <c r="F251" t="inlineStr">
        <is>
          <t>BLEKINGE LÄN</t>
        </is>
      </c>
      <c r="G251" t="inlineStr">
        <is>
          <t>RONNEBY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46307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46307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46307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45316</v>
      </c>
      <c r="E255" s="1" t="n">
        <v>46307</v>
      </c>
      <c r="F255" t="inlineStr">
        <is>
          <t>BLEKINGE LÄN</t>
        </is>
      </c>
      <c r="G255" t="inlineStr">
        <is>
          <t>RONNEBY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44903</v>
      </c>
      <c r="E256" s="1" t="n">
        <v>46307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46307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46307</v>
      </c>
      <c r="F258" t="inlineStr">
        <is>
          <t>BLEKINGE LÄN</t>
        </is>
      </c>
      <c r="G258" t="inlineStr">
        <is>
          <t>RONNEBY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45724</v>
      </c>
      <c r="E259" s="1" t="n">
        <v>46307</v>
      </c>
      <c r="F259" t="inlineStr">
        <is>
          <t>BLEKINGE LÄN</t>
        </is>
      </c>
      <c r="G259" t="inlineStr">
        <is>
          <t>RONNEBY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46307</v>
      </c>
      <c r="F260" t="inlineStr">
        <is>
          <t>BLEKINGE LÄN</t>
        </is>
      </c>
      <c r="G260" t="inlineStr">
        <is>
          <t>RONNEBY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46307</v>
      </c>
      <c r="F261" t="inlineStr">
        <is>
          <t>BLEKINGE LÄN</t>
        </is>
      </c>
      <c r="G261" t="inlineStr">
        <is>
          <t>RONNEBY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46307</v>
      </c>
      <c r="F262" t="inlineStr">
        <is>
          <t>BLEKINGE LÄN</t>
        </is>
      </c>
      <c r="G262" t="inlineStr">
        <is>
          <t>RONNEBY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46307</v>
      </c>
      <c r="F263" t="inlineStr">
        <is>
          <t>BLEKINGE LÄN</t>
        </is>
      </c>
      <c r="G263" t="inlineStr">
        <is>
          <t>RONNEBY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44627</v>
      </c>
      <c r="E264" s="1" t="n">
        <v>46307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46307</v>
      </c>
      <c r="F265" t="inlineStr">
        <is>
          <t>BLEKINGE LÄN</t>
        </is>
      </c>
      <c r="G265" t="inlineStr">
        <is>
          <t>RONNEBY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54065-2024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45616</v>
      </c>
      <c r="E266" s="1" t="n">
        <v>46307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45178</v>
      </c>
      <c r="E267" s="1" t="n">
        <v>46307</v>
      </c>
      <c r="F267" t="inlineStr">
        <is>
          <t>BLEKINGE LÄN</t>
        </is>
      </c>
      <c r="G267" t="inlineStr">
        <is>
          <t>RONNEBY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46307</v>
      </c>
      <c r="F268" t="inlineStr">
        <is>
          <t>BLEKINGE LÄN</t>
        </is>
      </c>
      <c r="G268" t="inlineStr">
        <is>
          <t>RONNEBY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46307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46307</v>
      </c>
      <c r="F270" t="inlineStr">
        <is>
          <t>BLEKINGE LÄN</t>
        </is>
      </c>
      <c r="G270" t="inlineStr">
        <is>
          <t>RONNEBY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46307</v>
      </c>
      <c r="F271" t="inlineStr">
        <is>
          <t>BLEKINGE LÄN</t>
        </is>
      </c>
      <c r="G271" t="inlineStr">
        <is>
          <t>RONNEBY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46307</v>
      </c>
      <c r="F272" t="inlineStr">
        <is>
          <t>BLEKINGE LÄN</t>
        </is>
      </c>
      <c r="G272" t="inlineStr">
        <is>
          <t>RONNEBY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46307</v>
      </c>
      <c r="F273" t="inlineStr">
        <is>
          <t>BLEKINGE LÄN</t>
        </is>
      </c>
      <c r="G273" t="inlineStr">
        <is>
          <t>RONNEBY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45551</v>
      </c>
      <c r="E274" s="1" t="n">
        <v>46307</v>
      </c>
      <c r="F274" t="inlineStr">
        <is>
          <t>BLEKINGE LÄN</t>
        </is>
      </c>
      <c r="G274" t="inlineStr">
        <is>
          <t>RONNEBY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46307</v>
      </c>
      <c r="F275" t="inlineStr">
        <is>
          <t>BLEKINGE LÄN</t>
        </is>
      </c>
      <c r="G275" t="inlineStr">
        <is>
          <t>RONNEBY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44489</v>
      </c>
      <c r="E276" s="1" t="n">
        <v>46307</v>
      </c>
      <c r="F276" t="inlineStr">
        <is>
          <t>BLEKINGE LÄN</t>
        </is>
      </c>
      <c r="G276" t="inlineStr">
        <is>
          <t>RONNEBY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46307</v>
      </c>
      <c r="F277" t="inlineStr">
        <is>
          <t>BLEKINGE LÄN</t>
        </is>
      </c>
      <c r="G277" t="inlineStr">
        <is>
          <t>RONNEBY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46307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45546</v>
      </c>
      <c r="E279" s="1" t="n">
        <v>46307</v>
      </c>
      <c r="F279" t="inlineStr">
        <is>
          <t>BLEKINGE LÄN</t>
        </is>
      </c>
      <c r="G279" t="inlineStr">
        <is>
          <t>RONNEBY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44565</v>
      </c>
      <c r="E280" s="1" t="n">
        <v>46307</v>
      </c>
      <c r="F280" t="inlineStr">
        <is>
          <t>BLEKINGE LÄN</t>
        </is>
      </c>
      <c r="G280" t="inlineStr">
        <is>
          <t>RONNEBY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45118</v>
      </c>
      <c r="E281" s="1" t="n">
        <v>46307</v>
      </c>
      <c r="F281" t="inlineStr">
        <is>
          <t>BLEKINGE LÄN</t>
        </is>
      </c>
      <c r="G281" t="inlineStr">
        <is>
          <t>RONNEBY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46307</v>
      </c>
      <c r="F282" t="inlineStr">
        <is>
          <t>BLEKINGE LÄN</t>
        </is>
      </c>
      <c r="G282" t="inlineStr">
        <is>
          <t>RONNEBY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46307</v>
      </c>
      <c r="F283" t="inlineStr">
        <is>
          <t>BLEKINGE LÄN</t>
        </is>
      </c>
      <c r="G283" t="inlineStr">
        <is>
          <t>RONNEBY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46307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46307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46307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46307</v>
      </c>
      <c r="F287" t="inlineStr">
        <is>
          <t>BLEKINGE LÄN</t>
        </is>
      </c>
      <c r="G287" t="inlineStr">
        <is>
          <t>RONNEBY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46307</v>
      </c>
      <c r="F288" t="inlineStr">
        <is>
          <t>BLEKINGE LÄN</t>
        </is>
      </c>
      <c r="G288" t="inlineStr">
        <is>
          <t>RONNEBY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45192</v>
      </c>
      <c r="E289" s="1" t="n">
        <v>46307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46307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46307</v>
      </c>
      <c r="F291" t="inlineStr">
        <is>
          <t>BLEKINGE LÄN</t>
        </is>
      </c>
      <c r="G291" t="inlineStr">
        <is>
          <t>RONNEBY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46307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45747</v>
      </c>
      <c r="E293" s="1" t="n">
        <v>46307</v>
      </c>
      <c r="F293" t="inlineStr">
        <is>
          <t>BLEKINGE LÄN</t>
        </is>
      </c>
      <c r="G293" t="inlineStr">
        <is>
          <t>RONNEBY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46307</v>
      </c>
      <c r="F294" t="inlineStr">
        <is>
          <t>BLEKINGE LÄN</t>
        </is>
      </c>
      <c r="G294" t="inlineStr">
        <is>
          <t>RONNEBY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46307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46307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46307</v>
      </c>
      <c r="F297" t="inlineStr">
        <is>
          <t>BLEKINGE LÄN</t>
        </is>
      </c>
      <c r="G297" t="inlineStr">
        <is>
          <t>RONNEBY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46307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46307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46307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44944</v>
      </c>
      <c r="E301" s="1" t="n">
        <v>46307</v>
      </c>
      <c r="F301" t="inlineStr">
        <is>
          <t>BLEKINGE LÄN</t>
        </is>
      </c>
      <c r="G301" t="inlineStr">
        <is>
          <t>RONNEBY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46307</v>
      </c>
      <c r="F302" t="inlineStr">
        <is>
          <t>BLEKINGE LÄN</t>
        </is>
      </c>
      <c r="G302" t="inlineStr">
        <is>
          <t>RONNEBY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46307</v>
      </c>
      <c r="F303" t="inlineStr">
        <is>
          <t>BLEKINGE LÄN</t>
        </is>
      </c>
      <c r="G303" t="inlineStr">
        <is>
          <t>RONNEBY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46307</v>
      </c>
      <c r="F304" t="inlineStr">
        <is>
          <t>BLEKINGE LÄN</t>
        </is>
      </c>
      <c r="G304" t="inlineStr">
        <is>
          <t>RONNEBY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46307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46307</v>
      </c>
      <c r="F306" t="inlineStr">
        <is>
          <t>BLEKINGE LÄN</t>
        </is>
      </c>
      <c r="G306" t="inlineStr">
        <is>
          <t>RONNEBY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46307</v>
      </c>
      <c r="F307" t="inlineStr">
        <is>
          <t>BLEKINGE LÄN</t>
        </is>
      </c>
      <c r="G307" t="inlineStr">
        <is>
          <t>RONNEBY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45078</v>
      </c>
      <c r="E308" s="1" t="n">
        <v>46307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45247</v>
      </c>
      <c r="E309" s="1" t="n">
        <v>46307</v>
      </c>
      <c r="F309" t="inlineStr">
        <is>
          <t>BLEKINGE LÄN</t>
        </is>
      </c>
      <c r="G309" t="inlineStr">
        <is>
          <t>RONNEBY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46307</v>
      </c>
      <c r="F310" t="inlineStr">
        <is>
          <t>BLEKINGE LÄN</t>
        </is>
      </c>
      <c r="G310" t="inlineStr">
        <is>
          <t>RONNEBY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46307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46307</v>
      </c>
      <c r="F312" t="inlineStr">
        <is>
          <t>BLEKINGE LÄN</t>
        </is>
      </c>
      <c r="G312" t="inlineStr">
        <is>
          <t>RONNEBY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46307</v>
      </c>
      <c r="F313" t="inlineStr">
        <is>
          <t>BLEKINGE LÄN</t>
        </is>
      </c>
      <c r="G313" t="inlineStr">
        <is>
          <t>RONNEBY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44606</v>
      </c>
      <c r="E314" s="1" t="n">
        <v>46307</v>
      </c>
      <c r="F314" t="inlineStr">
        <is>
          <t>BLEKINGE LÄN</t>
        </is>
      </c>
      <c r="G314" t="inlineStr">
        <is>
          <t>RONNEBY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41875-2022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44829</v>
      </c>
      <c r="E315" s="1" t="n">
        <v>46307</v>
      </c>
      <c r="F315" t="inlineStr">
        <is>
          <t>BLEKINGE LÄN</t>
        </is>
      </c>
      <c r="G315" t="inlineStr">
        <is>
          <t>RONNEBY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30197-2024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45490</v>
      </c>
      <c r="E316" s="1" t="n">
        <v>46307</v>
      </c>
      <c r="F316" t="inlineStr">
        <is>
          <t>BLEKINGE LÄN</t>
        </is>
      </c>
      <c r="G316" t="inlineStr">
        <is>
          <t>RONNEBY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46307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46307</v>
      </c>
      <c r="F318" t="inlineStr">
        <is>
          <t>BLEKINGE LÄN</t>
        </is>
      </c>
      <c r="G318" t="inlineStr">
        <is>
          <t>RONNEBY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44658</v>
      </c>
      <c r="E319" s="1" t="n">
        <v>46307</v>
      </c>
      <c r="F319" t="inlineStr">
        <is>
          <t>BLEKINGE LÄN</t>
        </is>
      </c>
      <c r="G319" t="inlineStr">
        <is>
          <t>RONNEBY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46307</v>
      </c>
      <c r="F320" t="inlineStr">
        <is>
          <t>BLEKINGE LÄN</t>
        </is>
      </c>
      <c r="G320" t="inlineStr">
        <is>
          <t>RONNEBY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46307</v>
      </c>
      <c r="F321" t="inlineStr">
        <is>
          <t>BLEKINGE LÄN</t>
        </is>
      </c>
      <c r="G321" t="inlineStr">
        <is>
          <t>RONNEBY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46307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46307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44565</v>
      </c>
      <c r="E324" s="1" t="n">
        <v>46307</v>
      </c>
      <c r="F324" t="inlineStr">
        <is>
          <t>BLEKINGE LÄN</t>
        </is>
      </c>
      <c r="G324" t="inlineStr">
        <is>
          <t>RONNEBY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45739</v>
      </c>
      <c r="E325" s="1" t="n">
        <v>46307</v>
      </c>
      <c r="F325" t="inlineStr">
        <is>
          <t>BLEKINGE LÄN</t>
        </is>
      </c>
      <c r="G325" t="inlineStr">
        <is>
          <t>RONNEBY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46307</v>
      </c>
      <c r="F326" t="inlineStr">
        <is>
          <t>BLEKINGE LÄN</t>
        </is>
      </c>
      <c r="G326" t="inlineStr">
        <is>
          <t>RONNEBY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45559</v>
      </c>
      <c r="E327" s="1" t="n">
        <v>46307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46307</v>
      </c>
      <c r="F328" t="inlineStr">
        <is>
          <t>BLEKINGE LÄN</t>
        </is>
      </c>
      <c r="G328" t="inlineStr">
        <is>
          <t>RONNEBY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46307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45068</v>
      </c>
      <c r="E330" s="1" t="n">
        <v>46307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45440</v>
      </c>
      <c r="E331" s="1" t="n">
        <v>46307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46307</v>
      </c>
      <c r="F332" t="inlineStr">
        <is>
          <t>BLEKINGE LÄN</t>
        </is>
      </c>
      <c r="G332" t="inlineStr">
        <is>
          <t>RONNEBY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46307</v>
      </c>
      <c r="F333" t="inlineStr">
        <is>
          <t>BLEKINGE LÄN</t>
        </is>
      </c>
      <c r="G333" t="inlineStr">
        <is>
          <t>RONNEBY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46307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46307</v>
      </c>
      <c r="F335" t="inlineStr">
        <is>
          <t>BLEKINGE LÄN</t>
        </is>
      </c>
      <c r="G335" t="inlineStr">
        <is>
          <t>RONNEBY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46307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46307</v>
      </c>
      <c r="F337" t="inlineStr">
        <is>
          <t>BLEKINGE LÄN</t>
        </is>
      </c>
      <c r="G337" t="inlineStr">
        <is>
          <t>RONNEBY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46307</v>
      </c>
      <c r="F338" t="inlineStr">
        <is>
          <t>BLEKINGE LÄN</t>
        </is>
      </c>
      <c r="G338" t="inlineStr">
        <is>
          <t>RONNEBY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46307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46307</v>
      </c>
      <c r="F340" t="inlineStr">
        <is>
          <t>BLEKINGE LÄN</t>
        </is>
      </c>
      <c r="G340" t="inlineStr">
        <is>
          <t>RONNEBY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46307</v>
      </c>
      <c r="F341" t="inlineStr">
        <is>
          <t>BLEKINGE LÄN</t>
        </is>
      </c>
      <c r="G341" t="inlineStr">
        <is>
          <t>RONNEBY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46307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statliga verk och myndigheter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46307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46307</v>
      </c>
      <c r="F344" t="inlineStr">
        <is>
          <t>BLEKINGE LÄN</t>
        </is>
      </c>
      <c r="G344" t="inlineStr">
        <is>
          <t>RONNEBY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46307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46307</v>
      </c>
      <c r="F346" t="inlineStr">
        <is>
          <t>BLEKINGE LÄN</t>
        </is>
      </c>
      <c r="G346" t="inlineStr">
        <is>
          <t>RONNEBY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45413</v>
      </c>
      <c r="E347" s="1" t="n">
        <v>46307</v>
      </c>
      <c r="F347" t="inlineStr">
        <is>
          <t>BLEKINGE LÄN</t>
        </is>
      </c>
      <c r="G347" t="inlineStr">
        <is>
          <t>RONNEBY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44586</v>
      </c>
      <c r="E348" s="1" t="n">
        <v>46307</v>
      </c>
      <c r="F348" t="inlineStr">
        <is>
          <t>BLEKINGE LÄN</t>
        </is>
      </c>
      <c r="G348" t="inlineStr">
        <is>
          <t>RONNEBY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46307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46307</v>
      </c>
      <c r="F350" t="inlineStr">
        <is>
          <t>BLEKINGE LÄN</t>
        </is>
      </c>
      <c r="G350" t="inlineStr">
        <is>
          <t>RONNEBY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46307</v>
      </c>
      <c r="F351" t="inlineStr">
        <is>
          <t>BLEKINGE LÄN</t>
        </is>
      </c>
      <c r="G351" t="inlineStr">
        <is>
          <t>RONNEBY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45480</v>
      </c>
      <c r="E352" s="1" t="n">
        <v>46307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46307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46307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45328</v>
      </c>
      <c r="E355" s="1" t="n">
        <v>46307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46307</v>
      </c>
      <c r="F356" t="inlineStr">
        <is>
          <t>BLEKINGE LÄN</t>
        </is>
      </c>
      <c r="G356" t="inlineStr">
        <is>
          <t>RONNEBY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55079-2023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45237</v>
      </c>
      <c r="E357" s="1" t="n">
        <v>46307</v>
      </c>
      <c r="F357" t="inlineStr">
        <is>
          <t>BLEKINGE LÄN</t>
        </is>
      </c>
      <c r="G357" t="inlineStr">
        <is>
          <t>RONNEBY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44729</v>
      </c>
      <c r="E358" s="1" t="n">
        <v>46307</v>
      </c>
      <c r="F358" t="inlineStr">
        <is>
          <t>BLEKINGE LÄN</t>
        </is>
      </c>
      <c r="G358" t="inlineStr">
        <is>
          <t>RONNEBY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46307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45061</v>
      </c>
      <c r="E360" s="1" t="n">
        <v>46307</v>
      </c>
      <c r="F360" t="inlineStr">
        <is>
          <t>BLEKINGE LÄN</t>
        </is>
      </c>
      <c r="G360" t="inlineStr">
        <is>
          <t>RONNEBY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46307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44713</v>
      </c>
      <c r="E362" s="1" t="n">
        <v>46307</v>
      </c>
      <c r="F362" t="inlineStr">
        <is>
          <t>BLEKINGE LÄN</t>
        </is>
      </c>
      <c r="G362" t="inlineStr">
        <is>
          <t>RONNEBY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45702</v>
      </c>
      <c r="E363" s="1" t="n">
        <v>46307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46307</v>
      </c>
      <c r="F364" t="inlineStr">
        <is>
          <t>BLEKINGE LÄN</t>
        </is>
      </c>
      <c r="G364" t="inlineStr">
        <is>
          <t>RONNEBY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46307</v>
      </c>
      <c r="F365" t="inlineStr">
        <is>
          <t>BLEKINGE LÄN</t>
        </is>
      </c>
      <c r="G365" t="inlineStr">
        <is>
          <t>RONNEBY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46307</v>
      </c>
      <c r="F366" t="inlineStr">
        <is>
          <t>BLEKINGE LÄN</t>
        </is>
      </c>
      <c r="G366" t="inlineStr">
        <is>
          <t>RONNEBY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46307</v>
      </c>
      <c r="F367" t="inlineStr">
        <is>
          <t>BLEKINGE LÄN</t>
        </is>
      </c>
      <c r="G367" t="inlineStr">
        <is>
          <t>RONNEBY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46307</v>
      </c>
      <c r="F368" t="inlineStr">
        <is>
          <t>BLEKINGE LÄN</t>
        </is>
      </c>
      <c r="G368" t="inlineStr">
        <is>
          <t>RONNEBY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46307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45724</v>
      </c>
      <c r="E370" s="1" t="n">
        <v>46307</v>
      </c>
      <c r="F370" t="inlineStr">
        <is>
          <t>BLEKINGE LÄN</t>
        </is>
      </c>
      <c r="G370" t="inlineStr">
        <is>
          <t>RONNEBY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46307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39925-2022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46307</v>
      </c>
      <c r="F372" t="inlineStr">
        <is>
          <t>BLEKINGE LÄN</t>
        </is>
      </c>
      <c r="G372" t="inlineStr">
        <is>
          <t>RONNEBY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46307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45195</v>
      </c>
      <c r="E374" s="1" t="n">
        <v>46307</v>
      </c>
      <c r="F374" t="inlineStr">
        <is>
          <t>BLEKINGE LÄN</t>
        </is>
      </c>
      <c r="G374" t="inlineStr">
        <is>
          <t>RONNEBY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46307</v>
      </c>
      <c r="F375" t="inlineStr">
        <is>
          <t>BLEKINGE LÄN</t>
        </is>
      </c>
      <c r="G375" t="inlineStr">
        <is>
          <t>RONNEBY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46307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46307</v>
      </c>
      <c r="F377" t="inlineStr">
        <is>
          <t>BLEKINGE LÄN</t>
        </is>
      </c>
      <c r="G377" t="inlineStr">
        <is>
          <t>RONNEBY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45178</v>
      </c>
      <c r="E378" s="1" t="n">
        <v>46307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54536-2022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44882</v>
      </c>
      <c r="E379" s="1" t="n">
        <v>46307</v>
      </c>
      <c r="F379" t="inlineStr">
        <is>
          <t>BLEKINGE LÄN</t>
        </is>
      </c>
      <c r="G379" t="inlineStr">
        <is>
          <t>RONNEBY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46307</v>
      </c>
      <c r="F380" t="inlineStr">
        <is>
          <t>BLEKINGE LÄN</t>
        </is>
      </c>
      <c r="G380" t="inlineStr">
        <is>
          <t>RONNEBY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46307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46307</v>
      </c>
      <c r="F382" t="inlineStr">
        <is>
          <t>BLEKINGE LÄN</t>
        </is>
      </c>
      <c r="G382" t="inlineStr">
        <is>
          <t>RONNEBY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46307</v>
      </c>
      <c r="F383" t="inlineStr">
        <is>
          <t>BLEKINGE LÄN</t>
        </is>
      </c>
      <c r="G383" t="inlineStr">
        <is>
          <t>RONNEBY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46307</v>
      </c>
      <c r="F384" t="inlineStr">
        <is>
          <t>BLEKINGE LÄN</t>
        </is>
      </c>
      <c r="G384" t="inlineStr">
        <is>
          <t>RONNEBY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45299</v>
      </c>
      <c r="E385" s="1" t="n">
        <v>46307</v>
      </c>
      <c r="F385" t="inlineStr">
        <is>
          <t>BLEKINGE LÄN</t>
        </is>
      </c>
      <c r="G385" t="inlineStr">
        <is>
          <t>RONNEBY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46307</v>
      </c>
      <c r="F386" t="inlineStr">
        <is>
          <t>BLEKINGE LÄN</t>
        </is>
      </c>
      <c r="G386" t="inlineStr">
        <is>
          <t>RONNEBY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45843</v>
      </c>
      <c r="E387" s="1" t="n">
        <v>46307</v>
      </c>
      <c r="F387" t="inlineStr">
        <is>
          <t>BLEKINGE LÄN</t>
        </is>
      </c>
      <c r="G387" t="inlineStr">
        <is>
          <t>RONNEBY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46307</v>
      </c>
      <c r="F388" t="inlineStr">
        <is>
          <t>BLEKINGE LÄN</t>
        </is>
      </c>
      <c r="G388" t="inlineStr">
        <is>
          <t>RONNEBY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46307</v>
      </c>
      <c r="F389" t="inlineStr">
        <is>
          <t>BLEKINGE LÄN</t>
        </is>
      </c>
      <c r="G389" t="inlineStr">
        <is>
          <t>RONNEBY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46307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46307</v>
      </c>
      <c r="F391" t="inlineStr">
        <is>
          <t>BLEKINGE LÄN</t>
        </is>
      </c>
      <c r="G391" t="inlineStr">
        <is>
          <t>RONNEBY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46307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46307</v>
      </c>
      <c r="F393" t="inlineStr">
        <is>
          <t>BLEKINGE LÄN</t>
        </is>
      </c>
      <c r="G393" t="inlineStr">
        <is>
          <t>RONNEBY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44822</v>
      </c>
      <c r="E394" s="1" t="n">
        <v>46307</v>
      </c>
      <c r="F394" t="inlineStr">
        <is>
          <t>BLEKINGE LÄN</t>
        </is>
      </c>
      <c r="G394" t="inlineStr">
        <is>
          <t>RONNEBY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46307</v>
      </c>
      <c r="F395" t="inlineStr">
        <is>
          <t>BLEKINGE LÄN</t>
        </is>
      </c>
      <c r="G395" t="inlineStr">
        <is>
          <t>RONNEBY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46307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46307</v>
      </c>
      <c r="F397" t="inlineStr">
        <is>
          <t>BLEKINGE LÄN</t>
        </is>
      </c>
      <c r="G397" t="inlineStr">
        <is>
          <t>RONNEBY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45099</v>
      </c>
      <c r="E398" s="1" t="n">
        <v>46307</v>
      </c>
      <c r="F398" t="inlineStr">
        <is>
          <t>BLEKINGE LÄN</t>
        </is>
      </c>
      <c r="G398" t="inlineStr">
        <is>
          <t>RONNEBY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45653</v>
      </c>
      <c r="E399" s="1" t="n">
        <v>46307</v>
      </c>
      <c r="F399" t="inlineStr">
        <is>
          <t>BLEKINGE LÄN</t>
        </is>
      </c>
      <c r="G399" t="inlineStr">
        <is>
          <t>RONNEBY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46307</v>
      </c>
      <c r="F400" t="inlineStr">
        <is>
          <t>BLEKINGE LÄN</t>
        </is>
      </c>
      <c r="G400" t="inlineStr">
        <is>
          <t>RONNEBY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45310</v>
      </c>
      <c r="E401" s="1" t="n">
        <v>46307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46307</v>
      </c>
      <c r="F402" t="inlineStr">
        <is>
          <t>BLEKINGE LÄN</t>
        </is>
      </c>
      <c r="G402" t="inlineStr">
        <is>
          <t>RONNEBY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46307</v>
      </c>
      <c r="F403" t="inlineStr">
        <is>
          <t>BLEKINGE LÄN</t>
        </is>
      </c>
      <c r="G403" t="inlineStr">
        <is>
          <t>RONNEBY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44987</v>
      </c>
      <c r="E404" s="1" t="n">
        <v>46307</v>
      </c>
      <c r="F404" t="inlineStr">
        <is>
          <t>BLEKINGE LÄN</t>
        </is>
      </c>
      <c r="G404" t="inlineStr">
        <is>
          <t>RONNEBY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46307</v>
      </c>
      <c r="F405" t="inlineStr">
        <is>
          <t>BLEKINGE LÄN</t>
        </is>
      </c>
      <c r="G405" t="inlineStr">
        <is>
          <t>RONNEBY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46307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45193</v>
      </c>
      <c r="E407" s="1" t="n">
        <v>46307</v>
      </c>
      <c r="F407" t="inlineStr">
        <is>
          <t>BLEKINGE LÄN</t>
        </is>
      </c>
      <c r="G407" t="inlineStr">
        <is>
          <t>RONNEBY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46307</v>
      </c>
      <c r="F408" t="inlineStr">
        <is>
          <t>BLEKINGE LÄN</t>
        </is>
      </c>
      <c r="G408" t="inlineStr">
        <is>
          <t>RONNEBY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46307</v>
      </c>
      <c r="F409" t="inlineStr">
        <is>
          <t>BLEKINGE LÄN</t>
        </is>
      </c>
      <c r="G409" t="inlineStr">
        <is>
          <t>RONNEBY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46307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44748</v>
      </c>
      <c r="E411" s="1" t="n">
        <v>46307</v>
      </c>
      <c r="F411" t="inlineStr">
        <is>
          <t>BLEKINGE LÄN</t>
        </is>
      </c>
      <c r="G411" t="inlineStr">
        <is>
          <t>RONNEBY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45743</v>
      </c>
      <c r="E412" s="1" t="n">
        <v>46307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46307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46307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46307</v>
      </c>
      <c r="F415" t="inlineStr">
        <is>
          <t>BLEKINGE LÄN</t>
        </is>
      </c>
      <c r="G415" t="inlineStr">
        <is>
          <t>RONNEBY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46307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58648-2025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45986</v>
      </c>
      <c r="E417" s="1" t="n">
        <v>46307</v>
      </c>
      <c r="F417" t="inlineStr">
        <is>
          <t>BLEKINGE LÄN</t>
        </is>
      </c>
      <c r="G417" t="inlineStr">
        <is>
          <t>RONNEBY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46307</v>
      </c>
      <c r="F418" t="inlineStr">
        <is>
          <t>BLEKINGE LÄN</t>
        </is>
      </c>
      <c r="G418" t="inlineStr">
        <is>
          <t>RONNEBY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41665-2024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46307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46307</v>
      </c>
      <c r="F420" t="inlineStr">
        <is>
          <t>BLEKINGE LÄN</t>
        </is>
      </c>
      <c r="G420" t="inlineStr">
        <is>
          <t>RONNEBY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46542-2022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46307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44916</v>
      </c>
      <c r="E422" s="1" t="n">
        <v>46307</v>
      </c>
      <c r="F422" t="inlineStr">
        <is>
          <t>BLEKINGE LÄN</t>
        </is>
      </c>
      <c r="G422" t="inlineStr">
        <is>
          <t>RONNEBY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45432</v>
      </c>
      <c r="E423" s="1" t="n">
        <v>46307</v>
      </c>
      <c r="F423" t="inlineStr">
        <is>
          <t>BLEKINGE LÄN</t>
        </is>
      </c>
      <c r="G423" t="inlineStr">
        <is>
          <t>RONNEBY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44956</v>
      </c>
      <c r="E424" s="1" t="n">
        <v>46307</v>
      </c>
      <c r="F424" t="inlineStr">
        <is>
          <t>BLEKINGE LÄN</t>
        </is>
      </c>
      <c r="G424" t="inlineStr">
        <is>
          <t>RONNEBY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46307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46307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46307</v>
      </c>
      <c r="F427" t="inlineStr">
        <is>
          <t>BLEKINGE LÄN</t>
        </is>
      </c>
      <c r="G427" t="inlineStr">
        <is>
          <t>RONNEBY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46307</v>
      </c>
      <c r="F428" t="inlineStr">
        <is>
          <t>BLEKINGE LÄN</t>
        </is>
      </c>
      <c r="G428" t="inlineStr">
        <is>
          <t>RONNEBY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46307</v>
      </c>
      <c r="F429" t="inlineStr">
        <is>
          <t>BLEKINGE LÄN</t>
        </is>
      </c>
      <c r="G429" t="inlineStr">
        <is>
          <t>RONNEBY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44987</v>
      </c>
      <c r="E430" s="1" t="n">
        <v>46307</v>
      </c>
      <c r="F430" t="inlineStr">
        <is>
          <t>BLEKINGE LÄN</t>
        </is>
      </c>
      <c r="G430" t="inlineStr">
        <is>
          <t>RONNEBY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46307</v>
      </c>
      <c r="F431" t="inlineStr">
        <is>
          <t>BLEKINGE LÄN</t>
        </is>
      </c>
      <c r="G431" t="inlineStr">
        <is>
          <t>RONNEBY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46307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45360</v>
      </c>
      <c r="E433" s="1" t="n">
        <v>46307</v>
      </c>
      <c r="F433" t="inlineStr">
        <is>
          <t>BLEKINGE LÄN</t>
        </is>
      </c>
      <c r="G433" t="inlineStr">
        <is>
          <t>RONNEBY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45225</v>
      </c>
      <c r="E434" s="1" t="n">
        <v>46307</v>
      </c>
      <c r="F434" t="inlineStr">
        <is>
          <t>BLEKINGE LÄN</t>
        </is>
      </c>
      <c r="G434" t="inlineStr">
        <is>
          <t>RONNEBY</t>
        </is>
      </c>
      <c r="I434" t="n">
        <v>10.2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46307</v>
      </c>
      <c r="F435" t="inlineStr">
        <is>
          <t>BLEKINGE LÄN</t>
        </is>
      </c>
      <c r="G435" t="inlineStr">
        <is>
          <t>RONNEBY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45354</v>
      </c>
      <c r="E436" s="1" t="n">
        <v>46307</v>
      </c>
      <c r="F436" t="inlineStr">
        <is>
          <t>BLEKINGE LÄN</t>
        </is>
      </c>
      <c r="G436" t="inlineStr">
        <is>
          <t>RONNEBY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46307</v>
      </c>
      <c r="F437" t="inlineStr">
        <is>
          <t>BLEKINGE LÄN</t>
        </is>
      </c>
      <c r="G437" t="inlineStr">
        <is>
          <t>RONNEBY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46307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46307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44980</v>
      </c>
      <c r="E440" s="1" t="n">
        <v>46307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46307</v>
      </c>
      <c r="F441" t="inlineStr">
        <is>
          <t>BLEKINGE LÄN</t>
        </is>
      </c>
      <c r="G441" t="inlineStr">
        <is>
          <t>RONNEBY</t>
        </is>
      </c>
      <c r="I441" t="n">
        <v>14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64459-2023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46307</v>
      </c>
      <c r="F442" t="inlineStr">
        <is>
          <t>BLEKINGE LÄN</t>
        </is>
      </c>
      <c r="G442" t="inlineStr">
        <is>
          <t>RONNEBY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46307</v>
      </c>
      <c r="F443" t="inlineStr">
        <is>
          <t>BLEKINGE LÄN</t>
        </is>
      </c>
      <c r="G443" t="inlineStr">
        <is>
          <t>RONNEBY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46307</v>
      </c>
      <c r="F444" t="inlineStr">
        <is>
          <t>BLEKINGE LÄN</t>
        </is>
      </c>
      <c r="G444" t="inlineStr">
        <is>
          <t>RONNEBY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46307</v>
      </c>
      <c r="F445" t="inlineStr">
        <is>
          <t>BLEKINGE LÄN</t>
        </is>
      </c>
      <c r="G445" t="inlineStr">
        <is>
          <t>RONNEBY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14234-2022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46307</v>
      </c>
      <c r="F446" t="inlineStr">
        <is>
          <t>BLEKINGE LÄN</t>
        </is>
      </c>
      <c r="G446" t="inlineStr">
        <is>
          <t>RONNEBY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46307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46307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46307</v>
      </c>
      <c r="F449" t="inlineStr">
        <is>
          <t>BLEKINGE LÄN</t>
        </is>
      </c>
      <c r="G449" t="inlineStr">
        <is>
          <t>RONNEBY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46307</v>
      </c>
      <c r="F450" t="inlineStr">
        <is>
          <t>BLEKINGE LÄN</t>
        </is>
      </c>
      <c r="G450" t="inlineStr">
        <is>
          <t>RONNEBY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46307</v>
      </c>
      <c r="F451" t="inlineStr">
        <is>
          <t>BLEKINGE LÄN</t>
        </is>
      </c>
      <c r="G451" t="inlineStr">
        <is>
          <t>RONNEBY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46307</v>
      </c>
      <c r="F452" t="inlineStr">
        <is>
          <t>BLEKINGE LÄN</t>
        </is>
      </c>
      <c r="G452" t="inlineStr">
        <is>
          <t>RONNEBY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44945</v>
      </c>
      <c r="E453" s="1" t="n">
        <v>46307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46307</v>
      </c>
      <c r="F454" t="inlineStr">
        <is>
          <t>BLEKINGE LÄN</t>
        </is>
      </c>
      <c r="G454" t="inlineStr">
        <is>
          <t>RONNEBY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44992</v>
      </c>
      <c r="E455" s="1" t="n">
        <v>46307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45006</v>
      </c>
      <c r="E456" s="1" t="n">
        <v>46307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46307</v>
      </c>
      <c r="F457" t="inlineStr">
        <is>
          <t>BLEKINGE LÄN</t>
        </is>
      </c>
      <c r="G457" t="inlineStr">
        <is>
          <t>RONNEBY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46307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45195</v>
      </c>
      <c r="E459" s="1" t="n">
        <v>46307</v>
      </c>
      <c r="F459" t="inlineStr">
        <is>
          <t>BLEKINGE LÄN</t>
        </is>
      </c>
      <c r="G459" t="inlineStr">
        <is>
          <t>RONNEBY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54248-2025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45964</v>
      </c>
      <c r="E460" s="1" t="n">
        <v>46307</v>
      </c>
      <c r="F460" t="inlineStr">
        <is>
          <t>BLEKINGE LÄN</t>
        </is>
      </c>
      <c r="G460" t="inlineStr">
        <is>
          <t>RONNEBY</t>
        </is>
      </c>
      <c r="H460" t="inlineStr">
        <is>
          <t>Kommuner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46307</v>
      </c>
      <c r="F461" t="inlineStr">
        <is>
          <t>BLEKINGE LÄN</t>
        </is>
      </c>
      <c r="G461" t="inlineStr">
        <is>
          <t>RONNEBY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45402</v>
      </c>
      <c r="E462" s="1" t="n">
        <v>46307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46307</v>
      </c>
      <c r="F463" t="inlineStr">
        <is>
          <t>BLEKINGE LÄN</t>
        </is>
      </c>
      <c r="G463" t="inlineStr">
        <is>
          <t>RONNEBY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46307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44617</v>
      </c>
      <c r="E465" s="1" t="n">
        <v>46307</v>
      </c>
      <c r="F465" t="inlineStr">
        <is>
          <t>BLEKINGE LÄN</t>
        </is>
      </c>
      <c r="G465" t="inlineStr">
        <is>
          <t>RONNEBY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45821</v>
      </c>
      <c r="E466" s="1" t="n">
        <v>46307</v>
      </c>
      <c r="F466" t="inlineStr">
        <is>
          <t>BLEKINGE LÄN</t>
        </is>
      </c>
      <c r="G466" t="inlineStr">
        <is>
          <t>RONNEBY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44987</v>
      </c>
      <c r="E467" s="1" t="n">
        <v>46307</v>
      </c>
      <c r="F467" t="inlineStr">
        <is>
          <t>BLEKINGE LÄN</t>
        </is>
      </c>
      <c r="G467" t="inlineStr">
        <is>
          <t>RONNEBY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62465-2025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46007</v>
      </c>
      <c r="E468" s="1" t="n">
        <v>46307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46307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45673</v>
      </c>
      <c r="E470" s="1" t="n">
        <v>46307</v>
      </c>
      <c r="F470" t="inlineStr">
        <is>
          <t>BLEKINGE LÄN</t>
        </is>
      </c>
      <c r="G470" t="inlineStr">
        <is>
          <t>RONNEBY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45903</v>
      </c>
      <c r="E471" s="1" t="n">
        <v>46307</v>
      </c>
      <c r="F471" t="inlineStr">
        <is>
          <t>BLEKINGE LÄN</t>
        </is>
      </c>
      <c r="G471" t="inlineStr">
        <is>
          <t>RONNEBY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45929</v>
      </c>
      <c r="E472" s="1" t="n">
        <v>46307</v>
      </c>
      <c r="F472" t="inlineStr">
        <is>
          <t>BLEKINGE LÄN</t>
        </is>
      </c>
      <c r="G472" t="inlineStr">
        <is>
          <t>RONNEBY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46307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45440</v>
      </c>
      <c r="E474" s="1" t="n">
        <v>46307</v>
      </c>
      <c r="F474" t="inlineStr">
        <is>
          <t>BLEKINGE LÄN</t>
        </is>
      </c>
      <c r="G474" t="inlineStr">
        <is>
          <t>RONNEBY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45625</v>
      </c>
      <c r="E475" s="1" t="n">
        <v>46307</v>
      </c>
      <c r="F475" t="inlineStr">
        <is>
          <t>BLEKINGE LÄN</t>
        </is>
      </c>
      <c r="G475" t="inlineStr">
        <is>
          <t>RONNEBY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11257-2023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46307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46307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52884-2025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45954</v>
      </c>
      <c r="E478" s="1" t="n">
        <v>46307</v>
      </c>
      <c r="F478" t="inlineStr">
        <is>
          <t>BLEKINGE LÄN</t>
        </is>
      </c>
      <c r="G478" t="inlineStr">
        <is>
          <t>RONNEBY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45670</v>
      </c>
      <c r="E479" s="1" t="n">
        <v>46307</v>
      </c>
      <c r="F479" t="inlineStr">
        <is>
          <t>BLEKINGE LÄN</t>
        </is>
      </c>
      <c r="G479" t="inlineStr">
        <is>
          <t>RONNEBY</t>
        </is>
      </c>
      <c r="I479" t="n">
        <v>12.6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46307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46307</v>
      </c>
      <c r="F481" t="inlineStr">
        <is>
          <t>BLEKINGE LÄN</t>
        </is>
      </c>
      <c r="G481" t="inlineStr">
        <is>
          <t>RONNEBY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45889</v>
      </c>
      <c r="E482" s="1" t="n">
        <v>46307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46307</v>
      </c>
      <c r="F483" t="inlineStr">
        <is>
          <t>BLEKINGE LÄN</t>
        </is>
      </c>
      <c r="G483" t="inlineStr">
        <is>
          <t>RONNEBY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45889</v>
      </c>
      <c r="E484" s="1" t="n">
        <v>46307</v>
      </c>
      <c r="F484" t="inlineStr">
        <is>
          <t>BLEKINGE LÄN</t>
        </is>
      </c>
      <c r="G484" t="inlineStr">
        <is>
          <t>RONNEBY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44966</v>
      </c>
      <c r="E485" s="1" t="n">
        <v>46307</v>
      </c>
      <c r="F485" t="inlineStr">
        <is>
          <t>BLEKINGE LÄN</t>
        </is>
      </c>
      <c r="G485" t="inlineStr">
        <is>
          <t>RONNEBY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45363</v>
      </c>
      <c r="E486" s="1" t="n">
        <v>46307</v>
      </c>
      <c r="F486" t="inlineStr">
        <is>
          <t>BLEKINGE LÄN</t>
        </is>
      </c>
      <c r="G486" t="inlineStr">
        <is>
          <t>RONNEBY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46307</v>
      </c>
      <c r="F487" t="inlineStr">
        <is>
          <t>BLEKINGE LÄN</t>
        </is>
      </c>
      <c r="G487" t="inlineStr">
        <is>
          <t>RONNEBY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46307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46307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46307</v>
      </c>
      <c r="F490" t="inlineStr">
        <is>
          <t>BLEKINGE LÄN</t>
        </is>
      </c>
      <c r="G490" t="inlineStr">
        <is>
          <t>RONNEBY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46307</v>
      </c>
      <c r="F491" t="inlineStr">
        <is>
          <t>BLEKINGE LÄN</t>
        </is>
      </c>
      <c r="G491" t="inlineStr">
        <is>
          <t>RONNEBY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57427-2023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46307</v>
      </c>
      <c r="F492" t="inlineStr">
        <is>
          <t>BLEKINGE LÄN</t>
        </is>
      </c>
      <c r="G492" t="inlineStr">
        <is>
          <t>RONNEBY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46307</v>
      </c>
      <c r="F493" t="inlineStr">
        <is>
          <t>BLEKINGE LÄN</t>
        </is>
      </c>
      <c r="G493" t="inlineStr">
        <is>
          <t>RONNEBY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46307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45891</v>
      </c>
      <c r="E495" s="1" t="n">
        <v>46307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46307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46307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46307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46307</v>
      </c>
      <c r="F499" t="inlineStr">
        <is>
          <t>BLEKINGE LÄN</t>
        </is>
      </c>
      <c r="G499" t="inlineStr">
        <is>
          <t>RONNEBY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28975-2023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45104</v>
      </c>
      <c r="E500" s="1" t="n">
        <v>46307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46307</v>
      </c>
      <c r="F501" t="inlineStr">
        <is>
          <t>BLEKINGE LÄN</t>
        </is>
      </c>
      <c r="G501" t="inlineStr">
        <is>
          <t>RONNEBY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46307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46307</v>
      </c>
      <c r="F503" t="inlineStr">
        <is>
          <t>BLEKINGE LÄN</t>
        </is>
      </c>
      <c r="G503" t="inlineStr">
        <is>
          <t>RONNEBY</t>
        </is>
      </c>
      <c r="H503" t="inlineStr">
        <is>
          <t>Kommuner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45001</v>
      </c>
      <c r="E504" s="1" t="n">
        <v>46307</v>
      </c>
      <c r="F504" t="inlineStr">
        <is>
          <t>BLEKINGE LÄN</t>
        </is>
      </c>
      <c r="G504" t="inlineStr">
        <is>
          <t>RONNEBY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46307</v>
      </c>
      <c r="F505" t="inlineStr">
        <is>
          <t>BLEKINGE LÄN</t>
        </is>
      </c>
      <c r="G505" t="inlineStr">
        <is>
          <t>RONNEBY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46307</v>
      </c>
      <c r="F506" t="inlineStr">
        <is>
          <t>BLEKINGE LÄN</t>
        </is>
      </c>
      <c r="G506" t="inlineStr">
        <is>
          <t>RONNEBY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45602</v>
      </c>
      <c r="E507" s="1" t="n">
        <v>46307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46307</v>
      </c>
      <c r="F508" t="inlineStr">
        <is>
          <t>BLEKINGE LÄN</t>
        </is>
      </c>
      <c r="G508" t="inlineStr">
        <is>
          <t>RONNEBY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46307</v>
      </c>
      <c r="F509" t="inlineStr">
        <is>
          <t>BLEKINGE LÄN</t>
        </is>
      </c>
      <c r="G509" t="inlineStr">
        <is>
          <t>RONNEBY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46307</v>
      </c>
      <c r="F510" t="inlineStr">
        <is>
          <t>BLEKINGE LÄN</t>
        </is>
      </c>
      <c r="G510" t="inlineStr">
        <is>
          <t>RONNEBY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23888-2022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44722</v>
      </c>
      <c r="E511" s="1" t="n">
        <v>46307</v>
      </c>
      <c r="F511" t="inlineStr">
        <is>
          <t>BLEKINGE LÄN</t>
        </is>
      </c>
      <c r="G511" t="inlineStr">
        <is>
          <t>RONNEBY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46307</v>
      </c>
      <c r="F512" t="inlineStr">
        <is>
          <t>BLEKINGE LÄN</t>
        </is>
      </c>
      <c r="G512" t="inlineStr">
        <is>
          <t>RONNEBY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46046</v>
      </c>
      <c r="E513" s="1" t="n">
        <v>46307</v>
      </c>
      <c r="F513" t="inlineStr">
        <is>
          <t>BLEKINGE LÄN</t>
        </is>
      </c>
      <c r="G513" t="inlineStr">
        <is>
          <t>RONNEBY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46307</v>
      </c>
      <c r="F514" t="inlineStr">
        <is>
          <t>BLEKINGE LÄN</t>
        </is>
      </c>
      <c r="G514" t="inlineStr">
        <is>
          <t>RONNEBY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45373</v>
      </c>
      <c r="E515" s="1" t="n">
        <v>46307</v>
      </c>
      <c r="F515" t="inlineStr">
        <is>
          <t>BLEKINGE LÄN</t>
        </is>
      </c>
      <c r="G515" t="inlineStr">
        <is>
          <t>RONNEBY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45359</v>
      </c>
      <c r="E516" s="1" t="n">
        <v>46307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9571-2024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45360</v>
      </c>
      <c r="E517" s="1" t="n">
        <v>46307</v>
      </c>
      <c r="F517" t="inlineStr">
        <is>
          <t>BLEKINGE LÄN</t>
        </is>
      </c>
      <c r="G517" t="inlineStr">
        <is>
          <t>RONNEBY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46307</v>
      </c>
      <c r="F518" t="inlineStr">
        <is>
          <t>BLEKINGE LÄN</t>
        </is>
      </c>
      <c r="G518" t="inlineStr">
        <is>
          <t>RONNEBY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46307</v>
      </c>
      <c r="F519" t="inlineStr">
        <is>
          <t>BLEKINGE LÄN</t>
        </is>
      </c>
      <c r="G519" t="inlineStr">
        <is>
          <t>RONNEBY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46307</v>
      </c>
      <c r="F520" t="inlineStr">
        <is>
          <t>BLEKINGE LÄN</t>
        </is>
      </c>
      <c r="G520" t="inlineStr">
        <is>
          <t>RONNEBY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46307</v>
      </c>
      <c r="F521" t="inlineStr">
        <is>
          <t>BLEKINGE LÄN</t>
        </is>
      </c>
      <c r="G521" t="inlineStr">
        <is>
          <t>RONNEBY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46307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46066</v>
      </c>
      <c r="E523" s="1" t="n">
        <v>46307</v>
      </c>
      <c r="F523" t="inlineStr">
        <is>
          <t>BLEKINGE LÄN</t>
        </is>
      </c>
      <c r="G523" t="inlineStr">
        <is>
          <t>RONNEBY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46307</v>
      </c>
      <c r="F524" t="inlineStr">
        <is>
          <t>BLEKINGE LÄN</t>
        </is>
      </c>
      <c r="G524" t="inlineStr">
        <is>
          <t>RONNEBY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46307</v>
      </c>
      <c r="F525" t="inlineStr">
        <is>
          <t>BLEKINGE LÄN</t>
        </is>
      </c>
      <c r="G525" t="inlineStr">
        <is>
          <t>RONNEBY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46307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46307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46307</v>
      </c>
      <c r="F528" t="inlineStr">
        <is>
          <t>BLEKINGE LÄN</t>
        </is>
      </c>
      <c r="G528" t="inlineStr">
        <is>
          <t>RONNEBY</t>
        </is>
      </c>
      <c r="H528" t="inlineStr">
        <is>
          <t>Kyrkan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46307</v>
      </c>
      <c r="F529" t="inlineStr">
        <is>
          <t>BLEKINGE LÄN</t>
        </is>
      </c>
      <c r="G529" t="inlineStr">
        <is>
          <t>RONNEBY</t>
        </is>
      </c>
      <c r="H529" t="inlineStr">
        <is>
          <t>Kyrkan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46307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46307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46307</v>
      </c>
      <c r="F532" t="inlineStr">
        <is>
          <t>BLEKINGE LÄN</t>
        </is>
      </c>
      <c r="G532" t="inlineStr">
        <is>
          <t>RONNEBY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46307</v>
      </c>
      <c r="F533" t="inlineStr">
        <is>
          <t>BLEKINGE LÄN</t>
        </is>
      </c>
      <c r="G533" t="inlineStr">
        <is>
          <t>RONNEBY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46307</v>
      </c>
      <c r="F534" t="inlineStr">
        <is>
          <t>BLEKINGE LÄN</t>
        </is>
      </c>
      <c r="G534" t="inlineStr">
        <is>
          <t>RONNEBY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46307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46307</v>
      </c>
      <c r="F536" t="inlineStr">
        <is>
          <t>BLEKINGE LÄN</t>
        </is>
      </c>
      <c r="G536" t="inlineStr">
        <is>
          <t>RONNEBY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46307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61346-2024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45646</v>
      </c>
      <c r="E538" s="1" t="n">
        <v>46307</v>
      </c>
      <c r="F538" t="inlineStr">
        <is>
          <t>BLEKINGE LÄN</t>
        </is>
      </c>
      <c r="G538" t="inlineStr">
        <is>
          <t>RONNEBY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46307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33535-2025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45841</v>
      </c>
      <c r="E540" s="1" t="n">
        <v>46307</v>
      </c>
      <c r="F540" t="inlineStr">
        <is>
          <t>BLEKINGE LÄN</t>
        </is>
      </c>
      <c r="G540" t="inlineStr">
        <is>
          <t>RONNEBY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46307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46307</v>
      </c>
      <c r="F542" t="inlineStr">
        <is>
          <t>BLEKINGE LÄN</t>
        </is>
      </c>
      <c r="G542" t="inlineStr">
        <is>
          <t>RONNEBY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46164</v>
      </c>
      <c r="E543" s="1" t="n">
        <v>46307</v>
      </c>
      <c r="F543" t="inlineStr">
        <is>
          <t>BLEKINGE LÄN</t>
        </is>
      </c>
      <c r="G543" t="inlineStr">
        <is>
          <t>RONNEBY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44739</v>
      </c>
      <c r="E544" s="1" t="n">
        <v>46307</v>
      </c>
      <c r="F544" t="inlineStr">
        <is>
          <t>BLEKINGE LÄN</t>
        </is>
      </c>
      <c r="G544" t="inlineStr">
        <is>
          <t>RONNEBY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46307</v>
      </c>
      <c r="F545" t="inlineStr">
        <is>
          <t>BLEKINGE LÄN</t>
        </is>
      </c>
      <c r="G545" t="inlineStr">
        <is>
          <t>RONNEBY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46307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46307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46307</v>
      </c>
      <c r="F548" t="inlineStr">
        <is>
          <t>BLEKINGE LÄN</t>
        </is>
      </c>
      <c r="G548" t="inlineStr">
        <is>
          <t>RONNEBY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46307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46307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46307</v>
      </c>
      <c r="F551" t="inlineStr">
        <is>
          <t>BLEKINGE LÄN</t>
        </is>
      </c>
      <c r="G551" t="inlineStr">
        <is>
          <t>RONNEBY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26779-2026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46307</v>
      </c>
      <c r="F552" t="inlineStr">
        <is>
          <t>BLEKINGE LÄN</t>
        </is>
      </c>
      <c r="G552" t="inlineStr">
        <is>
          <t>RONNEBY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45921</v>
      </c>
      <c r="E553" s="1" t="n">
        <v>46307</v>
      </c>
      <c r="F553" t="inlineStr">
        <is>
          <t>BLEKINGE LÄN</t>
        </is>
      </c>
      <c r="G553" t="inlineStr">
        <is>
          <t>RONNEBY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28732-2026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46198</v>
      </c>
      <c r="E554" s="1" t="n">
        <v>46307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46307</v>
      </c>
      <c r="F555" t="inlineStr">
        <is>
          <t>BLEKINGE LÄN</t>
        </is>
      </c>
      <c r="G555" t="inlineStr">
        <is>
          <t>RONNEBY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46307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46307</v>
      </c>
      <c r="F557" t="inlineStr">
        <is>
          <t>BLEKINGE LÄN</t>
        </is>
      </c>
      <c r="G557" t="inlineStr">
        <is>
          <t>RONNEBY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46307</v>
      </c>
      <c r="F558" t="inlineStr">
        <is>
          <t>BLEKINGE LÄN</t>
        </is>
      </c>
      <c r="G558" t="inlineStr">
        <is>
          <t>RONNEBY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46307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46307</v>
      </c>
      <c r="F560" t="inlineStr">
        <is>
          <t>BLEKINGE LÄN</t>
        </is>
      </c>
      <c r="G560" t="inlineStr">
        <is>
          <t>RONNEBY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46307</v>
      </c>
      <c r="F561" t="inlineStr">
        <is>
          <t>BLEKINGE LÄN</t>
        </is>
      </c>
      <c r="G561" t="inlineStr">
        <is>
          <t>RONNEBY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46307</v>
      </c>
      <c r="F562" t="inlineStr">
        <is>
          <t>BLEKINGE LÄN</t>
        </is>
      </c>
      <c r="G562" t="inlineStr">
        <is>
          <t>RONNEBY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46307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46307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46307</v>
      </c>
      <c r="F565" t="inlineStr">
        <is>
          <t>BLEKINGE LÄN</t>
        </is>
      </c>
      <c r="G565" t="inlineStr">
        <is>
          <t>RONNEBY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46307</v>
      </c>
      <c r="F566" t="inlineStr">
        <is>
          <t>BLEKINGE LÄN</t>
        </is>
      </c>
      <c r="G566" t="inlineStr">
        <is>
          <t>RONNEBY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46307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46218</v>
      </c>
      <c r="E568" s="1" t="n">
        <v>46307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46307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46307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46307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46307</v>
      </c>
      <c r="F572" t="inlineStr">
        <is>
          <t>BLEKINGE LÄN</t>
        </is>
      </c>
      <c r="G572" t="inlineStr">
        <is>
          <t>RONNEBY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46307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46307</v>
      </c>
      <c r="F574" t="inlineStr">
        <is>
          <t>BLEKINGE LÄN</t>
        </is>
      </c>
      <c r="G574" t="inlineStr">
        <is>
          <t>RONNEBY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36218-2026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46307</v>
      </c>
      <c r="F575" t="inlineStr">
        <is>
          <t>BLEKINGE LÄN</t>
        </is>
      </c>
      <c r="G575" t="inlineStr">
        <is>
          <t>RONNEBY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46307</v>
      </c>
      <c r="F576" t="inlineStr">
        <is>
          <t>BLEKINGE LÄN</t>
        </is>
      </c>
      <c r="G576" t="inlineStr">
        <is>
          <t>RONNEBY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46307</v>
      </c>
      <c r="F577" t="inlineStr">
        <is>
          <t>BLEKINGE LÄN</t>
        </is>
      </c>
      <c r="G577" t="inlineStr">
        <is>
          <t>RONNEBY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46226</v>
      </c>
      <c r="E578" s="1" t="n">
        <v>46307</v>
      </c>
      <c r="F578" t="inlineStr">
        <is>
          <t>BLEKINGE LÄN</t>
        </is>
      </c>
      <c r="G578" t="inlineStr">
        <is>
          <t>RONNEBY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46307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46307</v>
      </c>
      <c r="F580" t="inlineStr">
        <is>
          <t>BLEKINGE LÄN</t>
        </is>
      </c>
      <c r="G580" t="inlineStr">
        <is>
          <t>RONNEBY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46307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46307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46307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46307</v>
      </c>
      <c r="F584" t="inlineStr">
        <is>
          <t>BLEKINGE LÄN</t>
        </is>
      </c>
      <c r="G584" t="inlineStr">
        <is>
          <t>RONNEBY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46307</v>
      </c>
      <c r="F585" t="inlineStr">
        <is>
          <t>BLEKINGE LÄN</t>
        </is>
      </c>
      <c r="G585" t="inlineStr">
        <is>
          <t>RONNEBY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46287</v>
      </c>
      <c r="E586" s="1" t="n">
        <v>46307</v>
      </c>
      <c r="F586" t="inlineStr">
        <is>
          <t>BLEKINGE LÄN</t>
        </is>
      </c>
      <c r="G586" t="inlineStr">
        <is>
          <t>RONNEBY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46307</v>
      </c>
      <c r="F587" t="inlineStr">
        <is>
          <t>BLEKINGE LÄN</t>
        </is>
      </c>
      <c r="G587" t="inlineStr">
        <is>
          <t>RONNEBY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46307</v>
      </c>
      <c r="F588" t="inlineStr">
        <is>
          <t>BLEKINGE LÄN</t>
        </is>
      </c>
      <c r="G588" t="inlineStr">
        <is>
          <t>RONNEBY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46307</v>
      </c>
      <c r="F589" t="inlineStr">
        <is>
          <t>BLEKINGE LÄN</t>
        </is>
      </c>
      <c r="G589" t="inlineStr">
        <is>
          <t>RONNEBY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46077</v>
      </c>
      <c r="E590" s="1" t="n">
        <v>46307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46307</v>
      </c>
      <c r="F591" t="inlineStr">
        <is>
          <t>BLEKINGE LÄN</t>
        </is>
      </c>
      <c r="G591" t="inlineStr">
        <is>
          <t>RONNEBY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46307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46307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46307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46292</v>
      </c>
      <c r="E595" s="1" t="n">
        <v>46307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46292</v>
      </c>
      <c r="E596" s="1" t="n">
        <v>46307</v>
      </c>
      <c r="F596" t="inlineStr">
        <is>
          <t>BLEKINGE LÄN</t>
        </is>
      </c>
      <c r="G596" t="inlineStr">
        <is>
          <t>RONNEBY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46307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46307</v>
      </c>
      <c r="F598" t="inlineStr">
        <is>
          <t>BLEKINGE LÄN</t>
        </is>
      </c>
      <c r="G598" t="inlineStr">
        <is>
          <t>RONNEBY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46300</v>
      </c>
      <c r="E599" s="1" t="n">
        <v>46307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46300</v>
      </c>
      <c r="E600" s="1" t="n">
        <v>46307</v>
      </c>
      <c r="F600" t="inlineStr">
        <is>
          <t>BLEKINGE LÄN</t>
        </is>
      </c>
      <c r="G600" t="inlineStr">
        <is>
          <t>RONNEBY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46300</v>
      </c>
      <c r="E601" s="1" t="n">
        <v>46307</v>
      </c>
      <c r="F601" t="inlineStr">
        <is>
          <t>BLEKINGE LÄN</t>
        </is>
      </c>
      <c r="G601" t="inlineStr">
        <is>
          <t>RONNEBY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45118</v>
      </c>
      <c r="E602" s="1" t="n">
        <v>46307</v>
      </c>
      <c r="F602" t="inlineStr">
        <is>
          <t>BLEKINGE LÄN</t>
        </is>
      </c>
      <c r="G602" t="inlineStr">
        <is>
          <t>RONNEBY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46307</v>
      </c>
      <c r="F603" t="inlineStr">
        <is>
          <t>BLEKINGE LÄN</t>
        </is>
      </c>
      <c r="G603" t="inlineStr">
        <is>
          <t>RONNEBY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46307</v>
      </c>
      <c r="F604" t="inlineStr">
        <is>
          <t>BLEKINGE LÄN</t>
        </is>
      </c>
      <c r="G604" t="inlineStr">
        <is>
          <t>RONNEBY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46307</v>
      </c>
      <c r="F605" t="inlineStr">
        <is>
          <t>BLEKINGE LÄN</t>
        </is>
      </c>
      <c r="G605" t="inlineStr">
        <is>
          <t>RONNEBY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46302</v>
      </c>
      <c r="E606" s="1" t="n">
        <v>46307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46307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46307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46307</v>
      </c>
      <c r="F609" t="inlineStr">
        <is>
          <t>BLEKINGE LÄN</t>
        </is>
      </c>
      <c r="G609" t="inlineStr">
        <is>
          <t>RONNEBY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45775</v>
      </c>
      <c r="E610" s="1" t="n">
        <v>46307</v>
      </c>
      <c r="F610" t="inlineStr">
        <is>
          <t>BLEKINGE LÄN</t>
        </is>
      </c>
      <c r="G610" t="inlineStr">
        <is>
          <t>RONNEBY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46307</v>
      </c>
      <c r="F611" t="inlineStr">
        <is>
          <t>BLEKINGE LÄN</t>
        </is>
      </c>
      <c r="G611" t="inlineStr">
        <is>
          <t>RONNEBY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46307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46307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46307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46307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46307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46307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46307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46307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46307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46307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46307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46307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46307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46307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46307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46307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46307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46307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2026-10-12T02:04:56Z</dcterms:created>
  <dcterms:modified xmlns:dcterms="http://purl.org/dc/terms/" xmlns:xsi="http://www.w3.org/2001/XMLSchema-instance" xsi:type="dcterms:W3CDTF">2026-10-12T02:04:57Z</dcterms:modified>
</cp:coreProperties>
</file>