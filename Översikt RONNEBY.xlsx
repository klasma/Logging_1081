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46276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46276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46276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46276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46276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46276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46276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46276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34168-2026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46276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2.8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Talltita
Blåmossa
Grovticka</t>
        </is>
      </c>
      <c r="W17">
        <f>HYPERLINK("https://klasma.github.io/Logging_1081/artfynd/A 34168-2026 artfynd.xlsx", "A 34168-2026")</f>
        <v/>
      </c>
      <c r="X17">
        <f>HYPERLINK("https://klasma.github.io/Logging_1081/kartor/A 34168-2026 karta.png", "A 34168-2026")</f>
        <v/>
      </c>
      <c r="Y17">
        <f>HYPERLINK("https://klasma.github.io/Logging_1081/kartor_geotiff/A 34168-2026 georefererad karta.tif", "A 34168-2026")</f>
        <v/>
      </c>
      <c r="AA17">
        <f>HYPERLINK("https://klasma.github.io/Logging_1081/klagomål/A 34168-2026 FSC-klagomål.docx", "A 34168-2026")</f>
        <v/>
      </c>
      <c r="AB17">
        <f>HYPERLINK("https://klasma.github.io/Logging_1081/klagomålsmail/A 34168-2026 FSC-klagomål mail.docx", "A 34168-2026")</f>
        <v/>
      </c>
      <c r="AC17">
        <f>HYPERLINK("https://klasma.github.io/Logging_1081/tillsyn/A 34168-2026 tillsynsbegäran.docx", "A 34168-2026")</f>
        <v/>
      </c>
      <c r="AD17">
        <f>HYPERLINK("https://klasma.github.io/Logging_1081/tillsynsmail/A 34168-2026 tillsynsbegäran mail.docx", "A 34168-2026")</f>
        <v/>
      </c>
      <c r="AE17">
        <f>HYPERLINK("https://klasma.github.io/Logging_1081/fåglar/A 34168-2026 prioriterade fågelarter.docx", "A 34168-2026")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46276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46276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46276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46276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46276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Grå taggsvamp
Tjockfotad fingersvamp</t>
        </is>
      </c>
      <c r="W22">
        <f>HYPERLINK("https://klasma.github.io/Logging_1081/artfynd/A 47800-2024 artfynd.xlsx", "A 47800-2024")</f>
        <v/>
      </c>
      <c r="X22">
        <f>HYPERLINK("https://klasma.github.io/Logging_1081/kartor/A 47800-2024 karta.png", "A 47800-2024")</f>
        <v/>
      </c>
      <c r="Y22">
        <f>HYPERLINK("https://klasma.github.io/Logging_1081/kartor_geotiff/A 47800-2024 georefererad karta.tif", "A 47800-2024")</f>
        <v/>
      </c>
      <c r="AA22">
        <f>HYPERLINK("https://klasma.github.io/Logging_1081/klagomål/A 47800-2024 FSC-klagomål.docx", "A 47800-2024")</f>
        <v/>
      </c>
      <c r="AB22">
        <f>HYPERLINK("https://klasma.github.io/Logging_1081/klagomålsmail/A 47800-2024 FSC-klagomål mail.docx", "A 47800-2024")</f>
        <v/>
      </c>
      <c r="AC22">
        <f>HYPERLINK("https://klasma.github.io/Logging_1081/tillsyn/A 47800-2024 tillsynsbegäran.docx", "A 47800-2024")</f>
        <v/>
      </c>
      <c r="AD22">
        <f>HYPERLINK("https://klasma.github.io/Logging_1081/tillsynsmail/A 47800-2024 tillsynsbegäran mail.docx", "A 47800-2024")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46276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Oxtungssvamp
Sotlav</t>
        </is>
      </c>
      <c r="W23">
        <f>HYPERLINK("https://klasma.github.io/Logging_1081/artfynd/A 14351-2025 artfynd.xlsx", "A 14351-2025")</f>
        <v/>
      </c>
      <c r="X23">
        <f>HYPERLINK("https://klasma.github.io/Logging_1081/kartor/A 14351-2025 karta.png", "A 14351-2025")</f>
        <v/>
      </c>
      <c r="Y23">
        <f>HYPERLINK("https://klasma.github.io/Logging_1081/kartor_geotiff/A 14351-2025 georefererad karta.tif", "A 14351-2025")</f>
        <v/>
      </c>
      <c r="AA23">
        <f>HYPERLINK("https://klasma.github.io/Logging_1081/klagomål/A 14351-2025 FSC-klagomål.docx", "A 14351-2025")</f>
        <v/>
      </c>
      <c r="AB23">
        <f>HYPERLINK("https://klasma.github.io/Logging_1081/klagomålsmail/A 14351-2025 FSC-klagomål mail.docx", "A 14351-2025")</f>
        <v/>
      </c>
      <c r="AC23">
        <f>HYPERLINK("https://klasma.github.io/Logging_1081/tillsyn/A 14351-2025 tillsynsbegäran.docx", "A 14351-2025")</f>
        <v/>
      </c>
      <c r="AD23">
        <f>HYPERLINK("https://klasma.github.io/Logging_1081/tillsynsmail/A 14351-2025 tillsynsbegäran mail.docx", "A 14351-2025")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46276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46276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46276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Röd glada</t>
        </is>
      </c>
      <c r="W26">
        <f>HYPERLINK("https://klasma.github.io/Logging_1081/artfynd/A 55678-2022 artfynd.xlsx", "A 55678-2022")</f>
        <v/>
      </c>
      <c r="X26">
        <f>HYPERLINK("https://klasma.github.io/Logging_1081/kartor/A 55678-2022 karta.png", "A 55678-2022")</f>
        <v/>
      </c>
      <c r="Y26">
        <f>HYPERLINK("https://klasma.github.io/Logging_1081/kartor_geotiff/A 55678-2022 georefererad karta.tif", "A 55678-2022")</f>
        <v/>
      </c>
      <c r="AA26">
        <f>HYPERLINK("https://klasma.github.io/Logging_1081/klagomål/A 55678-2022 FSC-klagomål.docx", "A 55678-2022")</f>
        <v/>
      </c>
      <c r="AB26">
        <f>HYPERLINK("https://klasma.github.io/Logging_1081/klagomålsmail/A 55678-2022 FSC-klagomål mail.docx", "A 55678-2022")</f>
        <v/>
      </c>
      <c r="AC26">
        <f>HYPERLINK("https://klasma.github.io/Logging_1081/tillsyn/A 55678-2022 tillsynsbegäran.docx", "A 55678-2022")</f>
        <v/>
      </c>
      <c r="AD26">
        <f>HYPERLINK("https://klasma.github.io/Logging_1081/tillsynsmail/A 55678-2022 tillsynsbegäran mail.docx", "A 55678-2022")</f>
        <v/>
      </c>
      <c r="AE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46276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t="n">
        <v>0</v>
      </c>
      <c r="V27" s="2" t="inlineStr">
        <is>
          <t>Murgröna
Rostfläck</t>
        </is>
      </c>
      <c r="W27">
        <f>HYPERLINK("https://klasma.github.io/Logging_1081/artfynd/A 36463-2023 artfynd.xlsx", "A 36463-2023")</f>
        <v/>
      </c>
      <c r="X27">
        <f>HYPERLINK("https://klasma.github.io/Logging_1081/kartor/A 36463-2023 karta.png", "A 36463-2023")</f>
        <v/>
      </c>
      <c r="Y27">
        <f>HYPERLINK("https://klasma.github.io/Logging_1081/kartor_geotiff/A 36463-2023 georefererad karta.tif", "A 36463-2023")</f>
        <v/>
      </c>
      <c r="AA27">
        <f>HYPERLINK("https://klasma.github.io/Logging_1081/klagomål/A 36463-2023 FSC-klagomål.docx", "A 36463-2023")</f>
        <v/>
      </c>
      <c r="AB27">
        <f>HYPERLINK("https://klasma.github.io/Logging_1081/klagomålsmail/A 36463-2023 FSC-klagomål mail.docx", "A 36463-2023")</f>
        <v/>
      </c>
      <c r="AC27">
        <f>HYPERLINK("https://klasma.github.io/Logging_1081/tillsyn/A 36463-2023 tillsynsbegäran.docx", "A 36463-2023")</f>
        <v/>
      </c>
      <c r="AD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46276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46276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46276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46276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46276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46276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46276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46276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9309-2023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46276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0.9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Tibast</t>
        </is>
      </c>
      <c r="W36">
        <f>HYPERLINK("https://klasma.github.io/Logging_1081/artfynd/A 9309-2023 artfynd.xlsx", "A 9309-2023")</f>
        <v/>
      </c>
      <c r="X36">
        <f>HYPERLINK("https://klasma.github.io/Logging_1081/kartor/A 9309-2023 karta.png", "A 9309-2023")</f>
        <v/>
      </c>
      <c r="Y36">
        <f>HYPERLINK("https://klasma.github.io/Logging_1081/kartor_geotiff/A 9309-2023 georefererad karta.tif", "A 9309-2023")</f>
        <v/>
      </c>
      <c r="AA36">
        <f>HYPERLINK("https://klasma.github.io/Logging_1081/klagomål/A 9309-2023 FSC-klagomål.docx", "A 9309-2023")</f>
        <v/>
      </c>
      <c r="AB36">
        <f>HYPERLINK("https://klasma.github.io/Logging_1081/klagomålsmail/A 9309-2023 FSC-klagomål mail.docx", "A 9309-2023")</f>
        <v/>
      </c>
      <c r="AC36">
        <f>HYPERLINK("https://klasma.github.io/Logging_1081/tillsyn/A 9309-2023 tillsynsbegäran.docx", "A 9309-2023")</f>
        <v/>
      </c>
      <c r="AD36">
        <f>HYPERLINK("https://klasma.github.io/Logging_1081/tillsynsmail/A 9309-2023 tillsynsbegäran mail.docx", "A 9309-2023")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46276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46276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46276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Havstulpanlav</t>
        </is>
      </c>
      <c r="W39">
        <f>HYPERLINK("https://klasma.github.io/Logging_1081/artfynd/A 26288-2026 artfynd.xlsx", "A 26288-2026")</f>
        <v/>
      </c>
      <c r="X39">
        <f>HYPERLINK("https://klasma.github.io/Logging_1081/kartor/A 26288-2026 karta.png", "A 26288-2026")</f>
        <v/>
      </c>
      <c r="Y39">
        <f>HYPERLINK("https://klasma.github.io/Logging_1081/kartor_geotiff/A 26288-2026 georefererad karta.tif", "A 26288-2026")</f>
        <v/>
      </c>
      <c r="AA39">
        <f>HYPERLINK("https://klasma.github.io/Logging_1081/klagomål/A 26288-2026 FSC-klagomål.docx", "A 26288-2026")</f>
        <v/>
      </c>
      <c r="AB39">
        <f>HYPERLINK("https://klasma.github.io/Logging_1081/klagomålsmail/A 26288-2026 FSC-klagomål mail.docx", "A 26288-2026")</f>
        <v/>
      </c>
      <c r="AC39">
        <f>HYPERLINK("https://klasma.github.io/Logging_1081/tillsyn/A 26288-2026 tillsynsbegäran.docx", "A 26288-2026")</f>
        <v/>
      </c>
      <c r="AD39">
        <f>HYPERLINK("https://klasma.github.io/Logging_1081/tillsynsmail/A 26288-2026 tillsynsbegäran mail.docx", "A 26288-2026")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46276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46276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46276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46276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46276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46276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46276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46276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46276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46276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46276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46276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46276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46276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46276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46276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46276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46276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46276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46276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46276</v>
      </c>
      <c r="F60" t="inlineStr">
        <is>
          <t>BLEKINGE LÄN</t>
        </is>
      </c>
      <c r="G60" t="inlineStr">
        <is>
          <t>RONNEBY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46276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46276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46276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46276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46276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46276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46276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46276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46276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46276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46276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46276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46276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46276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46276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46276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46276</v>
      </c>
      <c r="F82" t="inlineStr">
        <is>
          <t>BLEKINGE LÄN</t>
        </is>
      </c>
      <c r="G82" t="inlineStr">
        <is>
          <t>RONNEBY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46276</v>
      </c>
      <c r="F83" t="inlineStr">
        <is>
          <t>BLEKINGE LÄN</t>
        </is>
      </c>
      <c r="G83" t="inlineStr">
        <is>
          <t>RONNEBY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46276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46276</v>
      </c>
      <c r="F85" t="inlineStr">
        <is>
          <t>BLEKINGE LÄN</t>
        </is>
      </c>
      <c r="G85" t="inlineStr">
        <is>
          <t>RONNEBY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46276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46276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46276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46276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46276</v>
      </c>
      <c r="F90" t="inlineStr">
        <is>
          <t>BLEKINGE LÄN</t>
        </is>
      </c>
      <c r="G90" t="inlineStr">
        <is>
          <t>RONNEBY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46276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61657-2021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46276</v>
      </c>
      <c r="F92" t="inlineStr">
        <is>
          <t>BLEKINGE LÄN</t>
        </is>
      </c>
      <c r="G92" t="inlineStr">
        <is>
          <t>RONNEBY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66288-2021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46276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46276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46276</v>
      </c>
      <c r="F95" t="inlineStr">
        <is>
          <t>BLEKINGE LÄN</t>
        </is>
      </c>
      <c r="G95" t="inlineStr">
        <is>
          <t>RONNEBY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46276</v>
      </c>
      <c r="F96" t="inlineStr">
        <is>
          <t>BLEKINGE LÄN</t>
        </is>
      </c>
      <c r="G96" t="inlineStr">
        <is>
          <t>RONNEBY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44630</v>
      </c>
      <c r="E97" s="1" t="n">
        <v>46276</v>
      </c>
      <c r="F97" t="inlineStr">
        <is>
          <t>BLEKINGE LÄN</t>
        </is>
      </c>
      <c r="G97" t="inlineStr">
        <is>
          <t>RONNEBY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44694</v>
      </c>
      <c r="E98" s="1" t="n">
        <v>46276</v>
      </c>
      <c r="F98" t="inlineStr">
        <is>
          <t>BLEKINGE LÄN</t>
        </is>
      </c>
      <c r="G98" t="inlineStr">
        <is>
          <t>RONNEBY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44504</v>
      </c>
      <c r="E99" s="1" t="n">
        <v>46276</v>
      </c>
      <c r="F99" t="inlineStr">
        <is>
          <t>BLEKINGE LÄN</t>
        </is>
      </c>
      <c r="G99" t="inlineStr">
        <is>
          <t>RONNEBY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46276</v>
      </c>
      <c r="F100" t="inlineStr">
        <is>
          <t>BLEKINGE LÄN</t>
        </is>
      </c>
      <c r="G100" t="inlineStr">
        <is>
          <t>RONNEBY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46276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46276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46276</v>
      </c>
      <c r="F103" t="inlineStr">
        <is>
          <t>BLEKINGE LÄN</t>
        </is>
      </c>
      <c r="G103" t="inlineStr">
        <is>
          <t>RONNEBY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46276</v>
      </c>
      <c r="F104" t="inlineStr">
        <is>
          <t>BLEKINGE LÄN</t>
        </is>
      </c>
      <c r="G104" t="inlineStr">
        <is>
          <t>RONNEBY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46276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46276</v>
      </c>
      <c r="F106" t="inlineStr">
        <is>
          <t>BLEKINGE LÄN</t>
        </is>
      </c>
      <c r="G106" t="inlineStr">
        <is>
          <t>RONNEBY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46276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46276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46276</v>
      </c>
      <c r="F109" t="inlineStr">
        <is>
          <t>BLEKINGE LÄN</t>
        </is>
      </c>
      <c r="G109" t="inlineStr">
        <is>
          <t>RONNEBY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44762</v>
      </c>
      <c r="E110" s="1" t="n">
        <v>46276</v>
      </c>
      <c r="F110" t="inlineStr">
        <is>
          <t>BLEKINGE LÄN</t>
        </is>
      </c>
      <c r="G110" t="inlineStr">
        <is>
          <t>RONNEBY</t>
        </is>
      </c>
      <c r="H110" t="inlineStr">
        <is>
          <t>Övriga Aktiebolag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46276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46276</v>
      </c>
      <c r="F112" t="inlineStr">
        <is>
          <t>BLEKINGE LÄN</t>
        </is>
      </c>
      <c r="G112" t="inlineStr">
        <is>
          <t>RONNEBY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46276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46276</v>
      </c>
      <c r="F114" t="inlineStr">
        <is>
          <t>BLEKINGE LÄN</t>
        </is>
      </c>
      <c r="G114" t="inlineStr">
        <is>
          <t>RONNEBY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46276</v>
      </c>
      <c r="F115" t="inlineStr">
        <is>
          <t>BLEKINGE LÄN</t>
        </is>
      </c>
      <c r="G115" t="inlineStr">
        <is>
          <t>RONNEBY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46276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46276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45328</v>
      </c>
      <c r="E118" s="1" t="n">
        <v>46276</v>
      </c>
      <c r="F118" t="inlineStr">
        <is>
          <t>BLEKINGE LÄN</t>
        </is>
      </c>
      <c r="G118" t="inlineStr">
        <is>
          <t>RONNEBY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46276</v>
      </c>
      <c r="F119" t="inlineStr">
        <is>
          <t>BLEKINGE LÄN</t>
        </is>
      </c>
      <c r="G119" t="inlineStr">
        <is>
          <t>RONNEBY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46276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46276</v>
      </c>
      <c r="F121" t="inlineStr">
        <is>
          <t>BLEKINGE LÄN</t>
        </is>
      </c>
      <c r="G121" t="inlineStr">
        <is>
          <t>RONNEBY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46276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46276</v>
      </c>
      <c r="F123" t="inlineStr">
        <is>
          <t>BLEKINGE LÄN</t>
        </is>
      </c>
      <c r="G123" t="inlineStr">
        <is>
          <t>RONNEBY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44617</v>
      </c>
      <c r="E124" s="1" t="n">
        <v>46276</v>
      </c>
      <c r="F124" t="inlineStr">
        <is>
          <t>BLEKINGE LÄN</t>
        </is>
      </c>
      <c r="G124" t="inlineStr">
        <is>
          <t>RONNEBY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46276</v>
      </c>
      <c r="F125" t="inlineStr">
        <is>
          <t>BLEKINGE LÄN</t>
        </is>
      </c>
      <c r="G125" t="inlineStr">
        <is>
          <t>RONNEBY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46276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46276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46276</v>
      </c>
      <c r="F128" t="inlineStr">
        <is>
          <t>BLEKINGE LÄN</t>
        </is>
      </c>
      <c r="G128" t="inlineStr">
        <is>
          <t>RONNEBY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45012</v>
      </c>
      <c r="E129" s="1" t="n">
        <v>46276</v>
      </c>
      <c r="F129" t="inlineStr">
        <is>
          <t>BLEKINGE LÄN</t>
        </is>
      </c>
      <c r="G129" t="inlineStr">
        <is>
          <t>RONNEBY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46276</v>
      </c>
      <c r="F130" t="inlineStr">
        <is>
          <t>BLEKINGE LÄN</t>
        </is>
      </c>
      <c r="G130" t="inlineStr">
        <is>
          <t>RONNEBY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46276</v>
      </c>
      <c r="F131" t="inlineStr">
        <is>
          <t>BLEKINGE LÄN</t>
        </is>
      </c>
      <c r="G131" t="inlineStr">
        <is>
          <t>RONNEBY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46276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46276</v>
      </c>
      <c r="F133" t="inlineStr">
        <is>
          <t>BLEKINGE LÄN</t>
        </is>
      </c>
      <c r="G133" t="inlineStr">
        <is>
          <t>RONNEBY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46276</v>
      </c>
      <c r="F134" t="inlineStr">
        <is>
          <t>BLEKINGE LÄN</t>
        </is>
      </c>
      <c r="G134" t="inlineStr">
        <is>
          <t>RONNEBY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46276</v>
      </c>
      <c r="F135" t="inlineStr">
        <is>
          <t>BLEKINGE LÄN</t>
        </is>
      </c>
      <c r="G135" t="inlineStr">
        <is>
          <t>RONNEBY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46276</v>
      </c>
      <c r="F136" t="inlineStr">
        <is>
          <t>BLEKINGE LÄN</t>
        </is>
      </c>
      <c r="G136" t="inlineStr">
        <is>
          <t>RONNEBY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46276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44627</v>
      </c>
      <c r="E138" s="1" t="n">
        <v>46276</v>
      </c>
      <c r="F138" t="inlineStr">
        <is>
          <t>BLEKINGE LÄN</t>
        </is>
      </c>
      <c r="G138" t="inlineStr">
        <is>
          <t>RONNEBY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46276</v>
      </c>
      <c r="F139" t="inlineStr">
        <is>
          <t>BLEKINGE LÄN</t>
        </is>
      </c>
      <c r="G139" t="inlineStr">
        <is>
          <t>RONNEBY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46276</v>
      </c>
      <c r="F140" t="inlineStr">
        <is>
          <t>BLEKINGE LÄN</t>
        </is>
      </c>
      <c r="G140" t="inlineStr">
        <is>
          <t>RONNEBY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46276</v>
      </c>
      <c r="F141" t="inlineStr">
        <is>
          <t>BLEKINGE LÄN</t>
        </is>
      </c>
      <c r="G141" t="inlineStr">
        <is>
          <t>RONNEBY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46276</v>
      </c>
      <c r="F142" t="inlineStr">
        <is>
          <t>BLEKINGE LÄN</t>
        </is>
      </c>
      <c r="G142" t="inlineStr">
        <is>
          <t>RONNEBY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33420-2023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45128</v>
      </c>
      <c r="E143" s="1" t="n">
        <v>46276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46276</v>
      </c>
      <c r="F144" t="inlineStr">
        <is>
          <t>BLEKINGE LÄN</t>
        </is>
      </c>
      <c r="G144" t="inlineStr">
        <is>
          <t>RONNEBY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45482</v>
      </c>
      <c r="E145" s="1" t="n">
        <v>46276</v>
      </c>
      <c r="F145" t="inlineStr">
        <is>
          <t>BLEKINGE LÄN</t>
        </is>
      </c>
      <c r="G145" t="inlineStr">
        <is>
          <t>RONNEBY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46276</v>
      </c>
      <c r="F146" t="inlineStr">
        <is>
          <t>BLEKINGE LÄN</t>
        </is>
      </c>
      <c r="G146" t="inlineStr">
        <is>
          <t>RONNEBY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45503</v>
      </c>
      <c r="E147" s="1" t="n">
        <v>46276</v>
      </c>
      <c r="F147" t="inlineStr">
        <is>
          <t>BLEKINGE LÄN</t>
        </is>
      </c>
      <c r="G147" t="inlineStr">
        <is>
          <t>RONNEBY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45739</v>
      </c>
      <c r="E148" s="1" t="n">
        <v>46276</v>
      </c>
      <c r="F148" t="inlineStr">
        <is>
          <t>BLEKINGE LÄN</t>
        </is>
      </c>
      <c r="G148" t="inlineStr">
        <is>
          <t>RONNEBY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46276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44987</v>
      </c>
      <c r="E150" s="1" t="n">
        <v>46276</v>
      </c>
      <c r="F150" t="inlineStr">
        <is>
          <t>BLEKINGE LÄN</t>
        </is>
      </c>
      <c r="G150" t="inlineStr">
        <is>
          <t>RONNEBY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45363</v>
      </c>
      <c r="E151" s="1" t="n">
        <v>46276</v>
      </c>
      <c r="F151" t="inlineStr">
        <is>
          <t>BLEKINGE LÄN</t>
        </is>
      </c>
      <c r="G151" t="inlineStr">
        <is>
          <t>RONNEBY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20997-2023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45061</v>
      </c>
      <c r="E152" s="1" t="n">
        <v>46276</v>
      </c>
      <c r="F152" t="inlineStr">
        <is>
          <t>BLEKINGE LÄN</t>
        </is>
      </c>
      <c r="G152" t="inlineStr">
        <is>
          <t>RONNEBY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45432</v>
      </c>
      <c r="E153" s="1" t="n">
        <v>46276</v>
      </c>
      <c r="F153" t="inlineStr">
        <is>
          <t>BLEKINGE LÄN</t>
        </is>
      </c>
      <c r="G153" t="inlineStr">
        <is>
          <t>RONNEBY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45672</v>
      </c>
      <c r="E154" s="1" t="n">
        <v>46276</v>
      </c>
      <c r="F154" t="inlineStr">
        <is>
          <t>BLEKINGE LÄN</t>
        </is>
      </c>
      <c r="G154" t="inlineStr">
        <is>
          <t>RONNEBY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46276</v>
      </c>
      <c r="F155" t="inlineStr">
        <is>
          <t>BLEKINGE LÄN</t>
        </is>
      </c>
      <c r="G155" t="inlineStr">
        <is>
          <t>RONNEBY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46276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46276</v>
      </c>
      <c r="F157" t="inlineStr">
        <is>
          <t>BLEKINGE LÄN</t>
        </is>
      </c>
      <c r="G157" t="inlineStr">
        <is>
          <t>RONNEBY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46276</v>
      </c>
      <c r="F158" t="inlineStr">
        <is>
          <t>BLEKINGE LÄN</t>
        </is>
      </c>
      <c r="G158" t="inlineStr">
        <is>
          <t>RONNEBY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46276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45115</v>
      </c>
      <c r="E160" s="1" t="n">
        <v>46276</v>
      </c>
      <c r="F160" t="inlineStr">
        <is>
          <t>BLEKINGE LÄN</t>
        </is>
      </c>
      <c r="G160" t="inlineStr">
        <is>
          <t>RONNEBY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46276</v>
      </c>
      <c r="F161" t="inlineStr">
        <is>
          <t>BLEKINGE LÄN</t>
        </is>
      </c>
      <c r="G161" t="inlineStr">
        <is>
          <t>RONNEBY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46276</v>
      </c>
      <c r="F162" t="inlineStr">
        <is>
          <t>BLEKINGE LÄN</t>
        </is>
      </c>
      <c r="G162" t="inlineStr">
        <is>
          <t>RONNEBY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45247</v>
      </c>
      <c r="E163" s="1" t="n">
        <v>46276</v>
      </c>
      <c r="F163" t="inlineStr">
        <is>
          <t>BLEKINGE LÄN</t>
        </is>
      </c>
      <c r="G163" t="inlineStr">
        <is>
          <t>RONNEBY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46276</v>
      </c>
      <c r="F164" t="inlineStr">
        <is>
          <t>BLEKINGE LÄN</t>
        </is>
      </c>
      <c r="G164" t="inlineStr">
        <is>
          <t>RONNEBY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30197-2024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45490</v>
      </c>
      <c r="E165" s="1" t="n">
        <v>46276</v>
      </c>
      <c r="F165" t="inlineStr">
        <is>
          <t>BLEKINGE LÄN</t>
        </is>
      </c>
      <c r="G165" t="inlineStr">
        <is>
          <t>RONNEBY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46276</v>
      </c>
      <c r="F166" t="inlineStr">
        <is>
          <t>BLEKINGE LÄN</t>
        </is>
      </c>
      <c r="G166" t="inlineStr">
        <is>
          <t>RONNEBY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46276</v>
      </c>
      <c r="F167" t="inlineStr">
        <is>
          <t>BLEKINGE LÄN</t>
        </is>
      </c>
      <c r="G167" t="inlineStr">
        <is>
          <t>RONNEBY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46276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44939</v>
      </c>
      <c r="E169" s="1" t="n">
        <v>46276</v>
      </c>
      <c r="F169" t="inlineStr">
        <is>
          <t>BLEKINGE LÄN</t>
        </is>
      </c>
      <c r="G169" t="inlineStr">
        <is>
          <t>RONNEBY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46276</v>
      </c>
      <c r="F170" t="inlineStr">
        <is>
          <t>BLEKINGE LÄN</t>
        </is>
      </c>
      <c r="G170" t="inlineStr">
        <is>
          <t>RONNEBY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14694-2023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46276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statliga verk och myndigheter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46276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46276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46276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46276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45892</v>
      </c>
      <c r="E176" s="1" t="n">
        <v>46276</v>
      </c>
      <c r="F176" t="inlineStr">
        <is>
          <t>BLEKINGE LÄN</t>
        </is>
      </c>
      <c r="G176" t="inlineStr">
        <is>
          <t>RONNEBY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35589-2023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45147</v>
      </c>
      <c r="E177" s="1" t="n">
        <v>46276</v>
      </c>
      <c r="F177" t="inlineStr">
        <is>
          <t>BLEKINGE LÄN</t>
        </is>
      </c>
      <c r="G177" t="inlineStr">
        <is>
          <t>RONNEBY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46276</v>
      </c>
      <c r="F178" t="inlineStr">
        <is>
          <t>BLEKINGE LÄN</t>
        </is>
      </c>
      <c r="G178" t="inlineStr">
        <is>
          <t>RONNEBY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17193-2024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45413</v>
      </c>
      <c r="E179" s="1" t="n">
        <v>46276</v>
      </c>
      <c r="F179" t="inlineStr">
        <is>
          <t>BLEKINGE LÄN</t>
        </is>
      </c>
      <c r="G179" t="inlineStr">
        <is>
          <t>RONNEBY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46276</v>
      </c>
      <c r="F180" t="inlineStr">
        <is>
          <t>BLEKINGE LÄN</t>
        </is>
      </c>
      <c r="G180" t="inlineStr">
        <is>
          <t>RONNEBY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44822</v>
      </c>
      <c r="E181" s="1" t="n">
        <v>46276</v>
      </c>
      <c r="F181" t="inlineStr">
        <is>
          <t>BLEKINGE LÄN</t>
        </is>
      </c>
      <c r="G181" t="inlineStr">
        <is>
          <t>RONNEBY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46276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46276</v>
      </c>
      <c r="F183" t="inlineStr">
        <is>
          <t>BLEKINGE LÄN</t>
        </is>
      </c>
      <c r="G183" t="inlineStr">
        <is>
          <t>RONNEBY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46276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46276</v>
      </c>
      <c r="F185" t="inlineStr">
        <is>
          <t>BLEKINGE LÄN</t>
        </is>
      </c>
      <c r="G185" t="inlineStr">
        <is>
          <t>RONNEBY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18746-2024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45426</v>
      </c>
      <c r="E186" s="1" t="n">
        <v>46276</v>
      </c>
      <c r="F186" t="inlineStr">
        <is>
          <t>BLEKINGE LÄN</t>
        </is>
      </c>
      <c r="G186" t="inlineStr">
        <is>
          <t>RONNEBY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46276</v>
      </c>
      <c r="F187" t="inlineStr">
        <is>
          <t>BLEKINGE LÄN</t>
        </is>
      </c>
      <c r="G187" t="inlineStr">
        <is>
          <t>RONNEBY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46276</v>
      </c>
      <c r="F188" t="inlineStr">
        <is>
          <t>BLEKINGE LÄN</t>
        </is>
      </c>
      <c r="G188" t="inlineStr">
        <is>
          <t>RONNEBY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46276</v>
      </c>
      <c r="F189" t="inlineStr">
        <is>
          <t>BLEKINGE LÄN</t>
        </is>
      </c>
      <c r="G189" t="inlineStr">
        <is>
          <t>RONNEBY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45843</v>
      </c>
      <c r="E190" s="1" t="n">
        <v>46276</v>
      </c>
      <c r="F190" t="inlineStr">
        <is>
          <t>BLEKINGE LÄN</t>
        </is>
      </c>
      <c r="G190" t="inlineStr">
        <is>
          <t>RONNEBY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45807</v>
      </c>
      <c r="E191" s="1" t="n">
        <v>46276</v>
      </c>
      <c r="F191" t="inlineStr">
        <is>
          <t>BLEKINGE LÄN</t>
        </is>
      </c>
      <c r="G191" t="inlineStr">
        <is>
          <t>RONNEBY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46276</v>
      </c>
      <c r="F192" t="inlineStr">
        <is>
          <t>BLEKINGE LÄN</t>
        </is>
      </c>
      <c r="G192" t="inlineStr">
        <is>
          <t>RONNEBY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46276</v>
      </c>
      <c r="F193" t="inlineStr">
        <is>
          <t>BLEKINGE LÄN</t>
        </is>
      </c>
      <c r="G193" t="inlineStr">
        <is>
          <t>RONNEBY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46276</v>
      </c>
      <c r="F194" t="inlineStr">
        <is>
          <t>BLEKINGE LÄN</t>
        </is>
      </c>
      <c r="G194" t="inlineStr">
        <is>
          <t>RONNEBY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46276</v>
      </c>
      <c r="F195" t="inlineStr">
        <is>
          <t>BLEKINGE LÄN</t>
        </is>
      </c>
      <c r="G195" t="inlineStr">
        <is>
          <t>RONNEBY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45910</v>
      </c>
      <c r="E196" s="1" t="n">
        <v>46276</v>
      </c>
      <c r="F196" t="inlineStr">
        <is>
          <t>BLEKINGE LÄN</t>
        </is>
      </c>
      <c r="G196" t="inlineStr">
        <is>
          <t>RONNEBY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46276</v>
      </c>
      <c r="F197" t="inlineStr">
        <is>
          <t>BLEKINGE LÄN</t>
        </is>
      </c>
      <c r="G197" t="inlineStr">
        <is>
          <t>RONNEBY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46276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45440</v>
      </c>
      <c r="E199" s="1" t="n">
        <v>46276</v>
      </c>
      <c r="F199" t="inlineStr">
        <is>
          <t>BLEKINGE LÄN</t>
        </is>
      </c>
      <c r="G199" t="inlineStr">
        <is>
          <t>RONNEBY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45840</v>
      </c>
      <c r="E200" s="1" t="n">
        <v>46276</v>
      </c>
      <c r="F200" t="inlineStr">
        <is>
          <t>BLEKINGE LÄN</t>
        </is>
      </c>
      <c r="G200" t="inlineStr">
        <is>
          <t>RONNEBY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45843</v>
      </c>
      <c r="E201" s="1" t="n">
        <v>46276</v>
      </c>
      <c r="F201" t="inlineStr">
        <is>
          <t>BLEKINGE LÄN</t>
        </is>
      </c>
      <c r="G201" t="inlineStr">
        <is>
          <t>RONNEBY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46276</v>
      </c>
      <c r="F202" t="inlineStr">
        <is>
          <t>BLEKINGE LÄN</t>
        </is>
      </c>
      <c r="G202" t="inlineStr">
        <is>
          <t>RONNEBY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46276</v>
      </c>
      <c r="F203" t="inlineStr">
        <is>
          <t>BLEKINGE LÄN</t>
        </is>
      </c>
      <c r="G203" t="inlineStr">
        <is>
          <t>RONNEBY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46276</v>
      </c>
      <c r="F204" t="inlineStr">
        <is>
          <t>BLEKINGE LÄN</t>
        </is>
      </c>
      <c r="G204" t="inlineStr">
        <is>
          <t>RONNEBY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46276</v>
      </c>
      <c r="F205" t="inlineStr">
        <is>
          <t>BLEKINGE LÄN</t>
        </is>
      </c>
      <c r="G205" t="inlineStr">
        <is>
          <t>RONNEBY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44754</v>
      </c>
      <c r="E206" s="1" t="n">
        <v>46276</v>
      </c>
      <c r="F206" t="inlineStr">
        <is>
          <t>BLEKINGE LÄN</t>
        </is>
      </c>
      <c r="G206" t="inlineStr">
        <is>
          <t>RONNEBY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46276</v>
      </c>
      <c r="F207" t="inlineStr">
        <is>
          <t>BLEKINGE LÄN</t>
        </is>
      </c>
      <c r="G207" t="inlineStr">
        <is>
          <t>RONNEBY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44884</v>
      </c>
      <c r="E208" s="1" t="n">
        <v>46276</v>
      </c>
      <c r="F208" t="inlineStr">
        <is>
          <t>BLEKINGE LÄN</t>
        </is>
      </c>
      <c r="G208" t="inlineStr">
        <is>
          <t>RONNEBY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46276</v>
      </c>
      <c r="F209" t="inlineStr">
        <is>
          <t>BLEKINGE LÄN</t>
        </is>
      </c>
      <c r="G209" t="inlineStr">
        <is>
          <t>RONNEBY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45856</v>
      </c>
      <c r="E210" s="1" t="n">
        <v>46276</v>
      </c>
      <c r="F210" t="inlineStr">
        <is>
          <t>BLEKINGE LÄN</t>
        </is>
      </c>
      <c r="G210" t="inlineStr">
        <is>
          <t>RONNEBY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46276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45402</v>
      </c>
      <c r="E212" s="1" t="n">
        <v>46276</v>
      </c>
      <c r="F212" t="inlineStr">
        <is>
          <t>BLEKINGE LÄN</t>
        </is>
      </c>
      <c r="G212" t="inlineStr">
        <is>
          <t>RONNEBY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46046</v>
      </c>
      <c r="E213" s="1" t="n">
        <v>46276</v>
      </c>
      <c r="F213" t="inlineStr">
        <is>
          <t>BLEKINGE LÄN</t>
        </is>
      </c>
      <c r="G213" t="inlineStr">
        <is>
          <t>RONNEBY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46276</v>
      </c>
      <c r="F214" t="inlineStr">
        <is>
          <t>BLEKINGE LÄN</t>
        </is>
      </c>
      <c r="G214" t="inlineStr">
        <is>
          <t>RONNEBY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46276</v>
      </c>
      <c r="F215" t="inlineStr">
        <is>
          <t>BLEKINGE LÄN</t>
        </is>
      </c>
      <c r="G215" t="inlineStr">
        <is>
          <t>RONNEBY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46276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46276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45646</v>
      </c>
      <c r="E218" s="1" t="n">
        <v>46276</v>
      </c>
      <c r="F218" t="inlineStr">
        <is>
          <t>BLEKINGE LÄN</t>
        </is>
      </c>
      <c r="G218" t="inlineStr">
        <is>
          <t>RONNEBY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46276</v>
      </c>
      <c r="F219" t="inlineStr">
        <is>
          <t>BLEKINGE LÄN</t>
        </is>
      </c>
      <c r="G219" t="inlineStr">
        <is>
          <t>RONNEBY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46276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1183-2025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45653</v>
      </c>
      <c r="E221" s="1" t="n">
        <v>46276</v>
      </c>
      <c r="F221" t="inlineStr">
        <is>
          <t>BLEKINGE LÄN</t>
        </is>
      </c>
      <c r="G221" t="inlineStr">
        <is>
          <t>RONNEBY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46276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46276</v>
      </c>
      <c r="F223" t="inlineStr">
        <is>
          <t>BLEKINGE LÄN</t>
        </is>
      </c>
      <c r="G223" t="inlineStr">
        <is>
          <t>RONNEBY</t>
        </is>
      </c>
      <c r="I223" t="n">
        <v>14.4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46276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46276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46276</v>
      </c>
      <c r="F226" t="inlineStr">
        <is>
          <t>BLEKINGE LÄN</t>
        </is>
      </c>
      <c r="G226" t="inlineStr">
        <is>
          <t>RONNEBY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46276</v>
      </c>
      <c r="F227" t="inlineStr">
        <is>
          <t>BLEKINGE LÄN</t>
        </is>
      </c>
      <c r="G227" t="inlineStr">
        <is>
          <t>RONNEBY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46276</v>
      </c>
      <c r="F228" t="inlineStr">
        <is>
          <t>BLEKINGE LÄN</t>
        </is>
      </c>
      <c r="G228" t="inlineStr">
        <is>
          <t>RONNEBY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46276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46276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46276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46276</v>
      </c>
      <c r="F232" t="inlineStr">
        <is>
          <t>BLEKINGE LÄN</t>
        </is>
      </c>
      <c r="G232" t="inlineStr">
        <is>
          <t>RONNEBY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46276</v>
      </c>
      <c r="F233" t="inlineStr">
        <is>
          <t>BLEKINGE LÄN</t>
        </is>
      </c>
      <c r="G233" t="inlineStr">
        <is>
          <t>RONNEBY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46276</v>
      </c>
      <c r="F234" t="inlineStr">
        <is>
          <t>BLEKINGE LÄN</t>
        </is>
      </c>
      <c r="G234" t="inlineStr">
        <is>
          <t>RONNEBY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46276</v>
      </c>
      <c r="F235" t="inlineStr">
        <is>
          <t>BLEKINGE LÄN</t>
        </is>
      </c>
      <c r="G235" t="inlineStr">
        <is>
          <t>RONNEBY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46276</v>
      </c>
      <c r="F236" t="inlineStr">
        <is>
          <t>BLEKINGE LÄN</t>
        </is>
      </c>
      <c r="G236" t="inlineStr">
        <is>
          <t>RONNEBY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46276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45714</v>
      </c>
      <c r="E238" s="1" t="n">
        <v>46276</v>
      </c>
      <c r="F238" t="inlineStr">
        <is>
          <t>BLEKINGE LÄN</t>
        </is>
      </c>
      <c r="G238" t="inlineStr">
        <is>
          <t>RONNEBY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45192</v>
      </c>
      <c r="E239" s="1" t="n">
        <v>46276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46059</v>
      </c>
      <c r="E240" s="1" t="n">
        <v>46276</v>
      </c>
      <c r="F240" t="inlineStr">
        <is>
          <t>BLEKINGE LÄN</t>
        </is>
      </c>
      <c r="G240" t="inlineStr">
        <is>
          <t>RONNEBY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46276</v>
      </c>
      <c r="F241" t="inlineStr">
        <is>
          <t>BLEKINGE LÄN</t>
        </is>
      </c>
      <c r="G241" t="inlineStr">
        <is>
          <t>RONNEBY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45225</v>
      </c>
      <c r="E242" s="1" t="n">
        <v>46276</v>
      </c>
      <c r="F242" t="inlineStr">
        <is>
          <t>BLEKINGE LÄN</t>
        </is>
      </c>
      <c r="G242" t="inlineStr">
        <is>
          <t>RONNEBY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46276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46276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46276</v>
      </c>
      <c r="F245" t="inlineStr">
        <is>
          <t>BLEKINGE LÄN</t>
        </is>
      </c>
      <c r="G245" t="inlineStr">
        <is>
          <t>RONNEBY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46276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46276</v>
      </c>
      <c r="F247" t="inlineStr">
        <is>
          <t>BLEKINGE LÄN</t>
        </is>
      </c>
      <c r="G247" t="inlineStr">
        <is>
          <t>RONNEBY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46276</v>
      </c>
      <c r="F248" t="inlineStr">
        <is>
          <t>BLEKINGE LÄN</t>
        </is>
      </c>
      <c r="G248" t="inlineStr">
        <is>
          <t>RONNEBY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46276</v>
      </c>
      <c r="F249" t="inlineStr">
        <is>
          <t>BLEKINGE LÄN</t>
        </is>
      </c>
      <c r="G249" t="inlineStr">
        <is>
          <t>RONNEBY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46276</v>
      </c>
      <c r="F250" t="inlineStr">
        <is>
          <t>BLEKINGE LÄN</t>
        </is>
      </c>
      <c r="G250" t="inlineStr">
        <is>
          <t>RONNEBY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45360</v>
      </c>
      <c r="E251" s="1" t="n">
        <v>46276</v>
      </c>
      <c r="F251" t="inlineStr">
        <is>
          <t>BLEKINGE LÄN</t>
        </is>
      </c>
      <c r="G251" t="inlineStr">
        <is>
          <t>RONNEBY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46276</v>
      </c>
      <c r="F252" t="inlineStr">
        <is>
          <t>BLEKINGE LÄN</t>
        </is>
      </c>
      <c r="G252" t="inlineStr">
        <is>
          <t>RONNEBY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46276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46276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45757</v>
      </c>
      <c r="E255" s="1" t="n">
        <v>46276</v>
      </c>
      <c r="F255" t="inlineStr">
        <is>
          <t>BLEKINGE LÄN</t>
        </is>
      </c>
      <c r="G255" t="inlineStr">
        <is>
          <t>RONNEBY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46071</v>
      </c>
      <c r="E256" s="1" t="n">
        <v>46276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9995-2026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46276</v>
      </c>
      <c r="F257" t="inlineStr">
        <is>
          <t>BLEKINGE LÄN</t>
        </is>
      </c>
      <c r="G257" t="inlineStr">
        <is>
          <t>RONNEBY</t>
        </is>
      </c>
      <c r="H257" t="inlineStr">
        <is>
          <t>Kyrkan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46073</v>
      </c>
      <c r="E258" s="1" t="n">
        <v>46276</v>
      </c>
      <c r="F258" t="inlineStr">
        <is>
          <t>BLEKINGE LÄN</t>
        </is>
      </c>
      <c r="G258" t="inlineStr">
        <is>
          <t>RONNEBY</t>
        </is>
      </c>
      <c r="H258" t="inlineStr">
        <is>
          <t>Kyrkan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46078</v>
      </c>
      <c r="E259" s="1" t="n">
        <v>46276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46078</v>
      </c>
      <c r="E260" s="1" t="n">
        <v>46276</v>
      </c>
      <c r="F260" t="inlineStr">
        <is>
          <t>BLEKINGE LÄN</t>
        </is>
      </c>
      <c r="G260" t="inlineStr">
        <is>
          <t>RONNEBY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46077</v>
      </c>
      <c r="E261" s="1" t="n">
        <v>46276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46078</v>
      </c>
      <c r="E262" s="1" t="n">
        <v>46276</v>
      </c>
      <c r="F262" t="inlineStr">
        <is>
          <t>BLEKINGE LÄN</t>
        </is>
      </c>
      <c r="G262" t="inlineStr">
        <is>
          <t>RONNEBY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46078</v>
      </c>
      <c r="E263" s="1" t="n">
        <v>46276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10804-2026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46078</v>
      </c>
      <c r="E264" s="1" t="n">
        <v>46276</v>
      </c>
      <c r="F264" t="inlineStr">
        <is>
          <t>BLEKINGE LÄN</t>
        </is>
      </c>
      <c r="G264" t="inlineStr">
        <is>
          <t>RONNEBY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46276</v>
      </c>
      <c r="F265" t="inlineStr">
        <is>
          <t>BLEKINGE LÄN</t>
        </is>
      </c>
      <c r="G265" t="inlineStr">
        <is>
          <t>RONNEBY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46276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46276</v>
      </c>
      <c r="F267" t="inlineStr">
        <is>
          <t>BLEKINGE LÄN</t>
        </is>
      </c>
      <c r="G267" t="inlineStr">
        <is>
          <t>RONNEBY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46276</v>
      </c>
      <c r="F268" t="inlineStr">
        <is>
          <t>BLEKINGE LÄN</t>
        </is>
      </c>
      <c r="G268" t="inlineStr">
        <is>
          <t>RONNEBY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46276</v>
      </c>
      <c r="F269" t="inlineStr">
        <is>
          <t>BLEKINGE LÄN</t>
        </is>
      </c>
      <c r="G269" t="inlineStr">
        <is>
          <t>RONNEBY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46276</v>
      </c>
      <c r="F270" t="inlineStr">
        <is>
          <t>BLEKINGE LÄN</t>
        </is>
      </c>
      <c r="G270" t="inlineStr">
        <is>
          <t>RONNEBY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46276</v>
      </c>
      <c r="F271" t="inlineStr">
        <is>
          <t>BLEKINGE LÄN</t>
        </is>
      </c>
      <c r="G271" t="inlineStr">
        <is>
          <t>RONNEBY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46276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46276</v>
      </c>
      <c r="F273" t="inlineStr">
        <is>
          <t>BLEKINGE LÄN</t>
        </is>
      </c>
      <c r="G273" t="inlineStr">
        <is>
          <t>RONNEBY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46276</v>
      </c>
      <c r="F274" t="inlineStr">
        <is>
          <t>BLEKINGE LÄN</t>
        </is>
      </c>
      <c r="G274" t="inlineStr">
        <is>
          <t>RONNEBY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46276</v>
      </c>
      <c r="F275" t="inlineStr">
        <is>
          <t>BLEKINGE LÄN</t>
        </is>
      </c>
      <c r="G275" t="inlineStr">
        <is>
          <t>RONNEBY</t>
        </is>
      </c>
      <c r="H275" t="inlineStr">
        <is>
          <t>Övriga Aktiebolag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46276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12125-2026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46086</v>
      </c>
      <c r="E277" s="1" t="n">
        <v>46276</v>
      </c>
      <c r="F277" t="inlineStr">
        <is>
          <t>BLEKINGE LÄN</t>
        </is>
      </c>
      <c r="G277" t="inlineStr">
        <is>
          <t>RONNEBY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46276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45280</v>
      </c>
      <c r="E279" s="1" t="n">
        <v>46276</v>
      </c>
      <c r="F279" t="inlineStr">
        <is>
          <t>BLEKINGE LÄN</t>
        </is>
      </c>
      <c r="G279" t="inlineStr">
        <is>
          <t>RONNEBY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28975-2023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45104</v>
      </c>
      <c r="E280" s="1" t="n">
        <v>46276</v>
      </c>
      <c r="F280" t="inlineStr">
        <is>
          <t>BLEKINGE LÄN</t>
        </is>
      </c>
      <c r="G280" t="inlineStr">
        <is>
          <t>RONNEBY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45111</v>
      </c>
      <c r="E281" s="1" t="n">
        <v>46276</v>
      </c>
      <c r="F281" t="inlineStr">
        <is>
          <t>BLEKINGE LÄN</t>
        </is>
      </c>
      <c r="G281" t="inlineStr">
        <is>
          <t>RONNEBY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46542-2022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44848</v>
      </c>
      <c r="E282" s="1" t="n">
        <v>46276</v>
      </c>
      <c r="F282" t="inlineStr">
        <is>
          <t>BLEKINGE LÄN</t>
        </is>
      </c>
      <c r="G282" t="inlineStr">
        <is>
          <t>RONNEBY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62278-2022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44916</v>
      </c>
      <c r="E283" s="1" t="n">
        <v>46276</v>
      </c>
      <c r="F283" t="inlineStr">
        <is>
          <t>BLEKINGE LÄN</t>
        </is>
      </c>
      <c r="G283" t="inlineStr">
        <is>
          <t>RONNEBY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45387</v>
      </c>
      <c r="E284" s="1" t="n">
        <v>46276</v>
      </c>
      <c r="F284" t="inlineStr">
        <is>
          <t>BLEKINGE LÄN</t>
        </is>
      </c>
      <c r="G284" t="inlineStr">
        <is>
          <t>RONNEBY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46276</v>
      </c>
      <c r="F285" t="inlineStr">
        <is>
          <t>BLEKINGE LÄN</t>
        </is>
      </c>
      <c r="G285" t="inlineStr">
        <is>
          <t>RONNEBY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46276</v>
      </c>
      <c r="F286" t="inlineStr">
        <is>
          <t>BLEKINGE LÄN</t>
        </is>
      </c>
      <c r="G286" t="inlineStr">
        <is>
          <t>RONNEBY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46276</v>
      </c>
      <c r="F287" t="inlineStr">
        <is>
          <t>BLEKINGE LÄN</t>
        </is>
      </c>
      <c r="G287" t="inlineStr">
        <is>
          <t>RONNEBY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45505</v>
      </c>
      <c r="E288" s="1" t="n">
        <v>46276</v>
      </c>
      <c r="F288" t="inlineStr">
        <is>
          <t>BLEKINGE LÄN</t>
        </is>
      </c>
      <c r="G288" t="inlineStr">
        <is>
          <t>RONNEBY</t>
        </is>
      </c>
      <c r="H288" t="inlineStr">
        <is>
          <t>Kommuner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45266</v>
      </c>
      <c r="E289" s="1" t="n">
        <v>46276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46276</v>
      </c>
      <c r="F290" t="inlineStr">
        <is>
          <t>BLEKINGE LÄN</t>
        </is>
      </c>
      <c r="G290" t="inlineStr">
        <is>
          <t>RONNEBY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54065-2024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45616</v>
      </c>
      <c r="E291" s="1" t="n">
        <v>46276</v>
      </c>
      <c r="F291" t="inlineStr">
        <is>
          <t>BLEKINGE LÄN</t>
        </is>
      </c>
      <c r="G291" t="inlineStr">
        <is>
          <t>RONNEBY</t>
        </is>
      </c>
      <c r="H291" t="inlineStr">
        <is>
          <t>Kommuner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45053</v>
      </c>
      <c r="E292" s="1" t="n">
        <v>46276</v>
      </c>
      <c r="F292" t="inlineStr">
        <is>
          <t>BLEKINGE LÄN</t>
        </is>
      </c>
      <c r="G292" t="inlineStr">
        <is>
          <t>RONNEBY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46276</v>
      </c>
      <c r="F293" t="inlineStr">
        <is>
          <t>BLEKINGE LÄN</t>
        </is>
      </c>
      <c r="G293" t="inlineStr">
        <is>
          <t>RONNEBY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46276</v>
      </c>
      <c r="F294" t="inlineStr">
        <is>
          <t>BLEKINGE LÄN</t>
        </is>
      </c>
      <c r="G294" t="inlineStr">
        <is>
          <t>RONNEBY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45775</v>
      </c>
      <c r="E295" s="1" t="n">
        <v>46276</v>
      </c>
      <c r="F295" t="inlineStr">
        <is>
          <t>BLEKINGE LÄN</t>
        </is>
      </c>
      <c r="G295" t="inlineStr">
        <is>
          <t>RONNEBY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49833-2024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45597</v>
      </c>
      <c r="E296" s="1" t="n">
        <v>46276</v>
      </c>
      <c r="F296" t="inlineStr">
        <is>
          <t>BLEKINGE LÄN</t>
        </is>
      </c>
      <c r="G296" t="inlineStr">
        <is>
          <t>RONNEBY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46276</v>
      </c>
      <c r="F297" t="inlineStr">
        <is>
          <t>BLEKINGE LÄN</t>
        </is>
      </c>
      <c r="G297" t="inlineStr">
        <is>
          <t>RONNEBY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45630</v>
      </c>
      <c r="E298" s="1" t="n">
        <v>46276</v>
      </c>
      <c r="F298" t="inlineStr">
        <is>
          <t>BLEKINGE LÄN</t>
        </is>
      </c>
      <c r="G298" t="inlineStr">
        <is>
          <t>RONNEBY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58648-2025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45986</v>
      </c>
      <c r="E299" s="1" t="n">
        <v>46276</v>
      </c>
      <c r="F299" t="inlineStr">
        <is>
          <t>BLEKINGE LÄN</t>
        </is>
      </c>
      <c r="G299" t="inlineStr">
        <is>
          <t>RONNEBY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46276</v>
      </c>
      <c r="F300" t="inlineStr">
        <is>
          <t>BLEKINGE LÄN</t>
        </is>
      </c>
      <c r="G300" t="inlineStr">
        <is>
          <t>RONNEBY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44944</v>
      </c>
      <c r="E301" s="1" t="n">
        <v>46276</v>
      </c>
      <c r="F301" t="inlineStr">
        <is>
          <t>BLEKINGE LÄN</t>
        </is>
      </c>
      <c r="G301" t="inlineStr">
        <is>
          <t>RONNEBY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46276</v>
      </c>
      <c r="F302" t="inlineStr">
        <is>
          <t>BLEKINGE LÄN</t>
        </is>
      </c>
      <c r="G302" t="inlineStr">
        <is>
          <t>RONNEBY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46276</v>
      </c>
      <c r="F303" t="inlineStr">
        <is>
          <t>BLEKINGE LÄN</t>
        </is>
      </c>
      <c r="G303" t="inlineStr">
        <is>
          <t>RONNEBY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46276</v>
      </c>
      <c r="F304" t="inlineStr">
        <is>
          <t>BLEKINGE LÄN</t>
        </is>
      </c>
      <c r="G304" t="inlineStr">
        <is>
          <t>RONNEBY</t>
        </is>
      </c>
      <c r="I304" t="n">
        <v>14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46276</v>
      </c>
      <c r="F305" t="inlineStr">
        <is>
          <t>BLEKINGE LÄN</t>
        </is>
      </c>
      <c r="G305" t="inlineStr">
        <is>
          <t>RONNEBY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46276</v>
      </c>
      <c r="F306" t="inlineStr">
        <is>
          <t>BLEKINGE LÄN</t>
        </is>
      </c>
      <c r="G306" t="inlineStr">
        <is>
          <t>RONNEBY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46104</v>
      </c>
      <c r="E307" s="1" t="n">
        <v>46276</v>
      </c>
      <c r="F307" t="inlineStr">
        <is>
          <t>BLEKINGE LÄN</t>
        </is>
      </c>
      <c r="G307" t="inlineStr">
        <is>
          <t>RONNEBY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44756</v>
      </c>
      <c r="E308" s="1" t="n">
        <v>46276</v>
      </c>
      <c r="F308" t="inlineStr">
        <is>
          <t>BLEKINGE LÄN</t>
        </is>
      </c>
      <c r="G308" t="inlineStr">
        <is>
          <t>RONNEBY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46276</v>
      </c>
      <c r="F309" t="inlineStr">
        <is>
          <t>BLEKINGE LÄN</t>
        </is>
      </c>
      <c r="G309" t="inlineStr">
        <is>
          <t>RONNEBY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46276</v>
      </c>
      <c r="F310" t="inlineStr">
        <is>
          <t>BLEKINGE LÄN</t>
        </is>
      </c>
      <c r="G310" t="inlineStr">
        <is>
          <t>RONNEBY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46276</v>
      </c>
      <c r="F311" t="inlineStr">
        <is>
          <t>BLEKINGE LÄN</t>
        </is>
      </c>
      <c r="G311" t="inlineStr">
        <is>
          <t>RONNEBY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45012</v>
      </c>
      <c r="E312" s="1" t="n">
        <v>46276</v>
      </c>
      <c r="F312" t="inlineStr">
        <is>
          <t>BLEKINGE LÄN</t>
        </is>
      </c>
      <c r="G312" t="inlineStr">
        <is>
          <t>RONNEBY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45462</v>
      </c>
      <c r="E313" s="1" t="n">
        <v>46276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46276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46276</v>
      </c>
      <c r="F315" t="inlineStr">
        <is>
          <t>BLEKINGE LÄN</t>
        </is>
      </c>
      <c r="G315" t="inlineStr">
        <is>
          <t>RONNEBY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46276</v>
      </c>
      <c r="F316" t="inlineStr">
        <is>
          <t>BLEKINGE LÄN</t>
        </is>
      </c>
      <c r="G316" t="inlineStr">
        <is>
          <t>RONNEBY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46276</v>
      </c>
      <c r="F317" t="inlineStr">
        <is>
          <t>BLEKINGE LÄN</t>
        </is>
      </c>
      <c r="G317" t="inlineStr">
        <is>
          <t>RONNEBY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45272</v>
      </c>
      <c r="E318" s="1" t="n">
        <v>46276</v>
      </c>
      <c r="F318" t="inlineStr">
        <is>
          <t>BLEKINGE LÄN</t>
        </is>
      </c>
      <c r="G318" t="inlineStr">
        <is>
          <t>RONNEBY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46276</v>
      </c>
      <c r="F319" t="inlineStr">
        <is>
          <t>BLEKINGE LÄN</t>
        </is>
      </c>
      <c r="G319" t="inlineStr">
        <is>
          <t>RONNEBY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45432</v>
      </c>
      <c r="E320" s="1" t="n">
        <v>46276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46276</v>
      </c>
      <c r="F321" t="inlineStr">
        <is>
          <t>BLEKINGE LÄN</t>
        </is>
      </c>
      <c r="G321" t="inlineStr">
        <is>
          <t>RONNEBY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46276</v>
      </c>
      <c r="F322" t="inlineStr">
        <is>
          <t>BLEKINGE LÄN</t>
        </is>
      </c>
      <c r="G322" t="inlineStr">
        <is>
          <t>RONNEBY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46276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46276</v>
      </c>
      <c r="F324" t="inlineStr">
        <is>
          <t>BLEKINGE LÄN</t>
        </is>
      </c>
      <c r="G324" t="inlineStr">
        <is>
          <t>RONNEBY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62465-2025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46007</v>
      </c>
      <c r="E325" s="1" t="n">
        <v>46276</v>
      </c>
      <c r="F325" t="inlineStr">
        <is>
          <t>BLEKINGE LÄN</t>
        </is>
      </c>
      <c r="G325" t="inlineStr">
        <is>
          <t>RONNEBY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45505</v>
      </c>
      <c r="E326" s="1" t="n">
        <v>46276</v>
      </c>
      <c r="F326" t="inlineStr">
        <is>
          <t>BLEKINGE LÄN</t>
        </is>
      </c>
      <c r="G326" t="inlineStr">
        <is>
          <t>RONNEBY</t>
        </is>
      </c>
      <c r="H326" t="inlineStr">
        <is>
          <t>Kommuner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46276</v>
      </c>
      <c r="F327" t="inlineStr">
        <is>
          <t>BLEKINGE LÄN</t>
        </is>
      </c>
      <c r="G327" t="inlineStr">
        <is>
          <t>RONNEBY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46276</v>
      </c>
      <c r="F328" t="inlineStr">
        <is>
          <t>BLEKINGE LÄN</t>
        </is>
      </c>
      <c r="G328" t="inlineStr">
        <is>
          <t>RONNEBY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45090</v>
      </c>
      <c r="E329" s="1" t="n">
        <v>46276</v>
      </c>
      <c r="F329" t="inlineStr">
        <is>
          <t>BLEKINGE LÄN</t>
        </is>
      </c>
      <c r="G329" t="inlineStr">
        <is>
          <t>RONNEBY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45589</v>
      </c>
      <c r="E330" s="1" t="n">
        <v>46276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45194</v>
      </c>
      <c r="E331" s="1" t="n">
        <v>46276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61730-2022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46276</v>
      </c>
      <c r="F332" t="inlineStr">
        <is>
          <t>BLEKINGE LÄN</t>
        </is>
      </c>
      <c r="G332" t="inlineStr">
        <is>
          <t>RONNEBY</t>
        </is>
      </c>
      <c r="I332" t="n">
        <v>9.6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46276</v>
      </c>
      <c r="F333" t="inlineStr">
        <is>
          <t>BLEKINGE LÄN</t>
        </is>
      </c>
      <c r="G333" t="inlineStr">
        <is>
          <t>RONNEBY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45071</v>
      </c>
      <c r="E334" s="1" t="n">
        <v>46276</v>
      </c>
      <c r="F334" t="inlineStr">
        <is>
          <t>BLEKINGE LÄN</t>
        </is>
      </c>
      <c r="G334" t="inlineStr">
        <is>
          <t>RONNEBY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46276</v>
      </c>
      <c r="F335" t="inlineStr">
        <is>
          <t>BLEKINGE LÄN</t>
        </is>
      </c>
      <c r="G335" t="inlineStr">
        <is>
          <t>RONNEBY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46276</v>
      </c>
      <c r="F336" t="inlineStr">
        <is>
          <t>BLEKINGE LÄN</t>
        </is>
      </c>
      <c r="G336" t="inlineStr">
        <is>
          <t>RONNEBY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46276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46276</v>
      </c>
      <c r="F338" t="inlineStr">
        <is>
          <t>BLEKINGE LÄN</t>
        </is>
      </c>
      <c r="G338" t="inlineStr">
        <is>
          <t>RONNEBY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45360</v>
      </c>
      <c r="E339" s="1" t="n">
        <v>46276</v>
      </c>
      <c r="F339" t="inlineStr">
        <is>
          <t>BLEKINGE LÄN</t>
        </is>
      </c>
      <c r="G339" t="inlineStr">
        <is>
          <t>RONNEBY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44565</v>
      </c>
      <c r="E340" s="1" t="n">
        <v>46276</v>
      </c>
      <c r="F340" t="inlineStr">
        <is>
          <t>BLEKINGE LÄN</t>
        </is>
      </c>
      <c r="G340" t="inlineStr">
        <is>
          <t>RONNEBY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46276</v>
      </c>
      <c r="F341" t="inlineStr">
        <is>
          <t>BLEKINGE LÄN</t>
        </is>
      </c>
      <c r="G341" t="inlineStr">
        <is>
          <t>RONNEBY</t>
        </is>
      </c>
      <c r="H341" t="inlineStr">
        <is>
          <t>Övriga Aktiebolag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44586</v>
      </c>
      <c r="E342" s="1" t="n">
        <v>46276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46119</v>
      </c>
      <c r="E343" s="1" t="n">
        <v>46276</v>
      </c>
      <c r="F343" t="inlineStr">
        <is>
          <t>BLEKINGE LÄN</t>
        </is>
      </c>
      <c r="G343" t="inlineStr">
        <is>
          <t>RONNEBY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45610</v>
      </c>
      <c r="E344" s="1" t="n">
        <v>46276</v>
      </c>
      <c r="F344" t="inlineStr">
        <is>
          <t>BLEKINGE LÄN</t>
        </is>
      </c>
      <c r="G344" t="inlineStr">
        <is>
          <t>RONNEBY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44595</v>
      </c>
      <c r="E345" s="1" t="n">
        <v>46276</v>
      </c>
      <c r="F345" t="inlineStr">
        <is>
          <t>BLEKINGE LÄN</t>
        </is>
      </c>
      <c r="G345" t="inlineStr">
        <is>
          <t>RONNEBY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29552-2022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44754</v>
      </c>
      <c r="E346" s="1" t="n">
        <v>46276</v>
      </c>
      <c r="F346" t="inlineStr">
        <is>
          <t>BLEKINGE LÄN</t>
        </is>
      </c>
      <c r="G346" t="inlineStr">
        <is>
          <t>RONNEBY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44753</v>
      </c>
      <c r="E347" s="1" t="n">
        <v>46276</v>
      </c>
      <c r="F347" t="inlineStr">
        <is>
          <t>BLEKINGE LÄN</t>
        </is>
      </c>
      <c r="G347" t="inlineStr">
        <is>
          <t>RONNEBY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46276</v>
      </c>
      <c r="F348" t="inlineStr">
        <is>
          <t>BLEKINGE LÄN</t>
        </is>
      </c>
      <c r="G348" t="inlineStr">
        <is>
          <t>RONNEBY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46276</v>
      </c>
      <c r="F349" t="inlineStr">
        <is>
          <t>BLEKINGE LÄN</t>
        </is>
      </c>
      <c r="G349" t="inlineStr">
        <is>
          <t>RONNEBY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46276</v>
      </c>
      <c r="F350" t="inlineStr">
        <is>
          <t>BLEKINGE LÄN</t>
        </is>
      </c>
      <c r="G350" t="inlineStr">
        <is>
          <t>RONNEBY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61529-2024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45646</v>
      </c>
      <c r="E351" s="1" t="n">
        <v>46276</v>
      </c>
      <c r="F351" t="inlineStr">
        <is>
          <t>BLEKINGE LÄN</t>
        </is>
      </c>
      <c r="G351" t="inlineStr">
        <is>
          <t>RONNEBY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13224-2023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45002</v>
      </c>
      <c r="E352" s="1" t="n">
        <v>46276</v>
      </c>
      <c r="F352" t="inlineStr">
        <is>
          <t>BLEKINGE LÄN</t>
        </is>
      </c>
      <c r="G352" t="inlineStr">
        <is>
          <t>RONNEBY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46276</v>
      </c>
      <c r="F353" t="inlineStr">
        <is>
          <t>BLEKINGE LÄN</t>
        </is>
      </c>
      <c r="G353" t="inlineStr">
        <is>
          <t>RONNEBY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45246</v>
      </c>
      <c r="E354" s="1" t="n">
        <v>46276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46276</v>
      </c>
      <c r="F355" t="inlineStr">
        <is>
          <t>BLEKINGE LÄN</t>
        </is>
      </c>
      <c r="G355" t="inlineStr">
        <is>
          <t>RONNEBY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46276</v>
      </c>
      <c r="F356" t="inlineStr">
        <is>
          <t>BLEKINGE LÄN</t>
        </is>
      </c>
      <c r="G356" t="inlineStr">
        <is>
          <t>RONNEBY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46276</v>
      </c>
      <c r="F357" t="inlineStr">
        <is>
          <t>BLEKINGE LÄN</t>
        </is>
      </c>
      <c r="G357" t="inlineStr">
        <is>
          <t>RONNEBY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46276</v>
      </c>
      <c r="F358" t="inlineStr">
        <is>
          <t>BLEKINGE LÄN</t>
        </is>
      </c>
      <c r="G358" t="inlineStr">
        <is>
          <t>RONNEBY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9057-2024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45357</v>
      </c>
      <c r="E359" s="1" t="n">
        <v>46276</v>
      </c>
      <c r="F359" t="inlineStr">
        <is>
          <t>BLEKINGE LÄN</t>
        </is>
      </c>
      <c r="G359" t="inlineStr">
        <is>
          <t>RONNEBY</t>
        </is>
      </c>
      <c r="H359" t="inlineStr">
        <is>
          <t>Kommuner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19948-2023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45054</v>
      </c>
      <c r="E360" s="1" t="n">
        <v>46276</v>
      </c>
      <c r="F360" t="inlineStr">
        <is>
          <t>BLEKINGE LÄN</t>
        </is>
      </c>
      <c r="G360" t="inlineStr">
        <is>
          <t>RONNEBY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45555</v>
      </c>
      <c r="E361" s="1" t="n">
        <v>46276</v>
      </c>
      <c r="F361" t="inlineStr">
        <is>
          <t>BLEKINGE LÄN</t>
        </is>
      </c>
      <c r="G361" t="inlineStr">
        <is>
          <t>RONNEBY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45394</v>
      </c>
      <c r="E362" s="1" t="n">
        <v>46276</v>
      </c>
      <c r="F362" t="inlineStr">
        <is>
          <t>BLEKINGE LÄN</t>
        </is>
      </c>
      <c r="G362" t="inlineStr">
        <is>
          <t>RONNEBY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45581</v>
      </c>
      <c r="E363" s="1" t="n">
        <v>46276</v>
      </c>
      <c r="F363" t="inlineStr">
        <is>
          <t>BLEKINGE LÄN</t>
        </is>
      </c>
      <c r="G363" t="inlineStr">
        <is>
          <t>RONNEBY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15624-2024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45402</v>
      </c>
      <c r="E364" s="1" t="n">
        <v>46276</v>
      </c>
      <c r="F364" t="inlineStr">
        <is>
          <t>BLEKINGE LÄN</t>
        </is>
      </c>
      <c r="G364" t="inlineStr">
        <is>
          <t>RONNEBY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45381</v>
      </c>
      <c r="E365" s="1" t="n">
        <v>46276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46276</v>
      </c>
      <c r="F366" t="inlineStr">
        <is>
          <t>BLEKINGE LÄN</t>
        </is>
      </c>
      <c r="G366" t="inlineStr">
        <is>
          <t>RONNEBY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45354</v>
      </c>
      <c r="E367" s="1" t="n">
        <v>46276</v>
      </c>
      <c r="F367" t="inlineStr">
        <is>
          <t>BLEKINGE LÄN</t>
        </is>
      </c>
      <c r="G367" t="inlineStr">
        <is>
          <t>RONNEBY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46276</v>
      </c>
      <c r="F368" t="inlineStr">
        <is>
          <t>BLEKINGE LÄN</t>
        </is>
      </c>
      <c r="G368" t="inlineStr">
        <is>
          <t>RONNEBY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45625</v>
      </c>
      <c r="E369" s="1" t="n">
        <v>46276</v>
      </c>
      <c r="F369" t="inlineStr">
        <is>
          <t>BLEKINGE LÄN</t>
        </is>
      </c>
      <c r="G369" t="inlineStr">
        <is>
          <t>RONNEBY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46276</v>
      </c>
      <c r="F370" t="inlineStr">
        <is>
          <t>BLEKINGE LÄN</t>
        </is>
      </c>
      <c r="G370" t="inlineStr">
        <is>
          <t>RONNEBY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45009</v>
      </c>
      <c r="E371" s="1" t="n">
        <v>46276</v>
      </c>
      <c r="F371" t="inlineStr">
        <is>
          <t>BLEKINGE LÄN</t>
        </is>
      </c>
      <c r="G371" t="inlineStr">
        <is>
          <t>RONNEBY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45677</v>
      </c>
      <c r="E372" s="1" t="n">
        <v>46276</v>
      </c>
      <c r="F372" t="inlineStr">
        <is>
          <t>BLEKINGE LÄN</t>
        </is>
      </c>
      <c r="G372" t="inlineStr">
        <is>
          <t>RONNEBY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44992</v>
      </c>
      <c r="E373" s="1" t="n">
        <v>46276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46276</v>
      </c>
      <c r="F374" t="inlineStr">
        <is>
          <t>BLEKINGE LÄN</t>
        </is>
      </c>
      <c r="G374" t="inlineStr">
        <is>
          <t>RONNEBY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26889-2025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46276</v>
      </c>
      <c r="F375" t="inlineStr">
        <is>
          <t>BLEKINGE LÄN</t>
        </is>
      </c>
      <c r="G375" t="inlineStr">
        <is>
          <t>RONNEBY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45702</v>
      </c>
      <c r="E376" s="1" t="n">
        <v>46276</v>
      </c>
      <c r="F376" t="inlineStr">
        <is>
          <t>BLEKINGE LÄN</t>
        </is>
      </c>
      <c r="G376" t="inlineStr">
        <is>
          <t>RONNEBY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45560</v>
      </c>
      <c r="E377" s="1" t="n">
        <v>46276</v>
      </c>
      <c r="F377" t="inlineStr">
        <is>
          <t>BLEKINGE LÄN</t>
        </is>
      </c>
      <c r="G377" t="inlineStr">
        <is>
          <t>RONNEBY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46276</v>
      </c>
      <c r="F378" t="inlineStr">
        <is>
          <t>BLEKINGE LÄN</t>
        </is>
      </c>
      <c r="G378" t="inlineStr">
        <is>
          <t>RONNEBY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46276</v>
      </c>
      <c r="F379" t="inlineStr">
        <is>
          <t>BLEKINGE LÄN</t>
        </is>
      </c>
      <c r="G379" t="inlineStr">
        <is>
          <t>RONNEBY</t>
        </is>
      </c>
      <c r="H379" t="inlineStr">
        <is>
          <t>Övriga Aktiebolag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46276</v>
      </c>
      <c r="F380" t="inlineStr">
        <is>
          <t>BLEKINGE LÄN</t>
        </is>
      </c>
      <c r="G380" t="inlineStr">
        <is>
          <t>RONNEBY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45891</v>
      </c>
      <c r="E381" s="1" t="n">
        <v>46276</v>
      </c>
      <c r="F381" t="inlineStr">
        <is>
          <t>BLEKINGE LÄN</t>
        </is>
      </c>
      <c r="G381" t="inlineStr">
        <is>
          <t>RONNEBY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45891</v>
      </c>
      <c r="E382" s="1" t="n">
        <v>46276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45673</v>
      </c>
      <c r="E383" s="1" t="n">
        <v>46276</v>
      </c>
      <c r="F383" t="inlineStr">
        <is>
          <t>BLEKINGE LÄN</t>
        </is>
      </c>
      <c r="G383" t="inlineStr">
        <is>
          <t>RONNEBY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46276</v>
      </c>
      <c r="F384" t="inlineStr">
        <is>
          <t>BLEKINGE LÄN</t>
        </is>
      </c>
      <c r="G384" t="inlineStr">
        <is>
          <t>RONNEBY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47823-2024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45588</v>
      </c>
      <c r="E385" s="1" t="n">
        <v>46276</v>
      </c>
      <c r="F385" t="inlineStr">
        <is>
          <t>BLEKINGE LÄN</t>
        </is>
      </c>
      <c r="G385" t="inlineStr">
        <is>
          <t>RONNEBY</t>
        </is>
      </c>
      <c r="H385" t="inlineStr">
        <is>
          <t>Kommuner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63881-2023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46276</v>
      </c>
      <c r="F386" t="inlineStr">
        <is>
          <t>BLEKINGE LÄN</t>
        </is>
      </c>
      <c r="G386" t="inlineStr">
        <is>
          <t>RONNEBY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46276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50808-2024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45602</v>
      </c>
      <c r="E388" s="1" t="n">
        <v>46276</v>
      </c>
      <c r="F388" t="inlineStr">
        <is>
          <t>BLEKINGE LÄN</t>
        </is>
      </c>
      <c r="G388" t="inlineStr">
        <is>
          <t>RONNEBY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16866-2025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45754</v>
      </c>
      <c r="E389" s="1" t="n">
        <v>46276</v>
      </c>
      <c r="F389" t="inlineStr">
        <is>
          <t>BLEKINGE LÄN</t>
        </is>
      </c>
      <c r="G389" t="inlineStr">
        <is>
          <t>RONNEBY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44987</v>
      </c>
      <c r="E390" s="1" t="n">
        <v>46276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46276</v>
      </c>
      <c r="F391" t="inlineStr">
        <is>
          <t>BLEKINGE LÄN</t>
        </is>
      </c>
      <c r="G391" t="inlineStr">
        <is>
          <t>RONNEBY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45821</v>
      </c>
      <c r="E392" s="1" t="n">
        <v>46276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54248-2025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45964</v>
      </c>
      <c r="E393" s="1" t="n">
        <v>46276</v>
      </c>
      <c r="F393" t="inlineStr">
        <is>
          <t>BLEKINGE LÄN</t>
        </is>
      </c>
      <c r="G393" t="inlineStr">
        <is>
          <t>RONNEBY</t>
        </is>
      </c>
      <c r="H393" t="inlineStr">
        <is>
          <t>Kommuner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45480</v>
      </c>
      <c r="E394" s="1" t="n">
        <v>46276</v>
      </c>
      <c r="F394" t="inlineStr">
        <is>
          <t>BLEKINGE LÄN</t>
        </is>
      </c>
      <c r="G394" t="inlineStr">
        <is>
          <t>RONNEBY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46276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46276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46276</v>
      </c>
      <c r="F397" t="inlineStr">
        <is>
          <t>BLEKINGE LÄN</t>
        </is>
      </c>
      <c r="G397" t="inlineStr">
        <is>
          <t>RONNEBY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25077-2022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44729</v>
      </c>
      <c r="E398" s="1" t="n">
        <v>46276</v>
      </c>
      <c r="F398" t="inlineStr">
        <is>
          <t>BLEKINGE LÄN</t>
        </is>
      </c>
      <c r="G398" t="inlineStr">
        <is>
          <t>RONNEBY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39426-2025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45889</v>
      </c>
      <c r="E399" s="1" t="n">
        <v>46276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46276</v>
      </c>
      <c r="F400" t="inlineStr">
        <is>
          <t>BLEKINGE LÄN</t>
        </is>
      </c>
      <c r="G400" t="inlineStr">
        <is>
          <t>RONNEBY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54943-2024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45619</v>
      </c>
      <c r="E401" s="1" t="n">
        <v>46276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45889</v>
      </c>
      <c r="E402" s="1" t="n">
        <v>46276</v>
      </c>
      <c r="F402" t="inlineStr">
        <is>
          <t>BLEKINGE LÄN</t>
        </is>
      </c>
      <c r="G402" t="inlineStr">
        <is>
          <t>RONNEBY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44966</v>
      </c>
      <c r="E403" s="1" t="n">
        <v>46276</v>
      </c>
      <c r="F403" t="inlineStr">
        <is>
          <t>BLEKINGE LÄN</t>
        </is>
      </c>
      <c r="G403" t="inlineStr">
        <is>
          <t>RONNEBY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46276</v>
      </c>
      <c r="F404" t="inlineStr">
        <is>
          <t>BLEKINGE LÄN</t>
        </is>
      </c>
      <c r="G404" t="inlineStr">
        <is>
          <t>RONNEBY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20546-2026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46276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45337</v>
      </c>
      <c r="E406" s="1" t="n">
        <v>46276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46276</v>
      </c>
      <c r="F407" t="inlineStr">
        <is>
          <t>BLEKINGE LÄN</t>
        </is>
      </c>
      <c r="G407" t="inlineStr">
        <is>
          <t>RONNEBY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46276</v>
      </c>
      <c r="F408" t="inlineStr">
        <is>
          <t>BLEKINGE LÄN</t>
        </is>
      </c>
      <c r="G408" t="inlineStr">
        <is>
          <t>RONNEBY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46276</v>
      </c>
      <c r="F409" t="inlineStr">
        <is>
          <t>BLEKINGE LÄN</t>
        </is>
      </c>
      <c r="G409" t="inlineStr">
        <is>
          <t>RONNEBY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46276</v>
      </c>
      <c r="F410" t="inlineStr">
        <is>
          <t>BLEKINGE LÄN</t>
        </is>
      </c>
      <c r="G410" t="inlineStr">
        <is>
          <t>RONNEBY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8046-2025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46276</v>
      </c>
      <c r="F411" t="inlineStr">
        <is>
          <t>BLEKINGE LÄN</t>
        </is>
      </c>
      <c r="G411" t="inlineStr">
        <is>
          <t>RONNEBY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44778</v>
      </c>
      <c r="E412" s="1" t="n">
        <v>46276</v>
      </c>
      <c r="F412" t="inlineStr">
        <is>
          <t>BLEKINGE LÄN</t>
        </is>
      </c>
      <c r="G412" t="inlineStr">
        <is>
          <t>RONNEBY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59840-2021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46276</v>
      </c>
      <c r="F413" t="inlineStr">
        <is>
          <t>BLEKINGE LÄN</t>
        </is>
      </c>
      <c r="G413" t="inlineStr">
        <is>
          <t>RONNEBY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46276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9.199999999999999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44966</v>
      </c>
      <c r="E415" s="1" t="n">
        <v>46276</v>
      </c>
      <c r="F415" t="inlineStr">
        <is>
          <t>BLEKINGE LÄN</t>
        </is>
      </c>
      <c r="G415" t="inlineStr">
        <is>
          <t>RONNEBY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44489</v>
      </c>
      <c r="E416" s="1" t="n">
        <v>46276</v>
      </c>
      <c r="F416" t="inlineStr">
        <is>
          <t>BLEKINGE LÄN</t>
        </is>
      </c>
      <c r="G416" t="inlineStr">
        <is>
          <t>RONNEBY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44762</v>
      </c>
      <c r="E417" s="1" t="n">
        <v>46276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44739</v>
      </c>
      <c r="E418" s="1" t="n">
        <v>46276</v>
      </c>
      <c r="F418" t="inlineStr">
        <is>
          <t>BLEKINGE LÄN</t>
        </is>
      </c>
      <c r="G418" t="inlineStr">
        <is>
          <t>RONNEBY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29430-2022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44753</v>
      </c>
      <c r="E419" s="1" t="n">
        <v>46276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46147</v>
      </c>
      <c r="E420" s="1" t="n">
        <v>46276</v>
      </c>
      <c r="F420" t="inlineStr">
        <is>
          <t>BLEKINGE LÄN</t>
        </is>
      </c>
      <c r="G420" t="inlineStr">
        <is>
          <t>RONNEBY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50792-2022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44862</v>
      </c>
      <c r="E421" s="1" t="n">
        <v>46276</v>
      </c>
      <c r="F421" t="inlineStr">
        <is>
          <t>BLEKINGE LÄN</t>
        </is>
      </c>
      <c r="G421" t="inlineStr">
        <is>
          <t>RONNEBY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26867-2024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45470</v>
      </c>
      <c r="E422" s="1" t="n">
        <v>46276</v>
      </c>
      <c r="F422" t="inlineStr">
        <is>
          <t>BLEKINGE LÄN</t>
        </is>
      </c>
      <c r="G422" t="inlineStr">
        <is>
          <t>RONNEBY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46276</v>
      </c>
      <c r="F423" t="inlineStr">
        <is>
          <t>BLEKINGE LÄN</t>
        </is>
      </c>
      <c r="G423" t="inlineStr">
        <is>
          <t>RONNEBY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46149</v>
      </c>
      <c r="E424" s="1" t="n">
        <v>46276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45086</v>
      </c>
      <c r="E425" s="1" t="n">
        <v>46276</v>
      </c>
      <c r="F425" t="inlineStr">
        <is>
          <t>BLEKINGE LÄN</t>
        </is>
      </c>
      <c r="G425" t="inlineStr">
        <is>
          <t>RONNEBY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45310</v>
      </c>
      <c r="E426" s="1" t="n">
        <v>46276</v>
      </c>
      <c r="F426" t="inlineStr">
        <is>
          <t>BLEKINGE LÄN</t>
        </is>
      </c>
      <c r="G426" t="inlineStr">
        <is>
          <t>RONNEBY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45040</v>
      </c>
      <c r="E427" s="1" t="n">
        <v>46276</v>
      </c>
      <c r="F427" t="inlineStr">
        <is>
          <t>BLEKINGE LÄN</t>
        </is>
      </c>
      <c r="G427" t="inlineStr">
        <is>
          <t>RONNEBY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46276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41875-2022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44829</v>
      </c>
      <c r="E429" s="1" t="n">
        <v>46276</v>
      </c>
      <c r="F429" t="inlineStr">
        <is>
          <t>BLEKINGE LÄN</t>
        </is>
      </c>
      <c r="G429" t="inlineStr">
        <is>
          <t>RONNEBY</t>
        </is>
      </c>
      <c r="I429" t="n">
        <v>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44956</v>
      </c>
      <c r="E430" s="1" t="n">
        <v>46276</v>
      </c>
      <c r="F430" t="inlineStr">
        <is>
          <t>BLEKINGE LÄN</t>
        </is>
      </c>
      <c r="G430" t="inlineStr">
        <is>
          <t>RONNEBY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39468-2023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46276</v>
      </c>
      <c r="F431" t="inlineStr">
        <is>
          <t>BLEKINGE LÄN</t>
        </is>
      </c>
      <c r="G431" t="inlineStr">
        <is>
          <t>RONNEBY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44882</v>
      </c>
      <c r="E432" s="1" t="n">
        <v>46276</v>
      </c>
      <c r="F432" t="inlineStr">
        <is>
          <t>BLEKINGE LÄN</t>
        </is>
      </c>
      <c r="G432" t="inlineStr">
        <is>
          <t>RONNEBY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45534</v>
      </c>
      <c r="E433" s="1" t="n">
        <v>46276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44893</v>
      </c>
      <c r="E434" s="1" t="n">
        <v>46276</v>
      </c>
      <c r="F434" t="inlineStr">
        <is>
          <t>BLEKINGE LÄN</t>
        </is>
      </c>
      <c r="G434" t="inlineStr">
        <is>
          <t>RONNEBY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45610</v>
      </c>
      <c r="E435" s="1" t="n">
        <v>46276</v>
      </c>
      <c r="F435" t="inlineStr">
        <is>
          <t>BLEKINGE LÄN</t>
        </is>
      </c>
      <c r="G435" t="inlineStr">
        <is>
          <t>RONNEBY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46276</v>
      </c>
      <c r="F436" t="inlineStr">
        <is>
          <t>BLEKINGE LÄN</t>
        </is>
      </c>
      <c r="G436" t="inlineStr">
        <is>
          <t>RONNEBY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44882</v>
      </c>
      <c r="E437" s="1" t="n">
        <v>46276</v>
      </c>
      <c r="F437" t="inlineStr">
        <is>
          <t>BLEKINGE LÄN</t>
        </is>
      </c>
      <c r="G437" t="inlineStr">
        <is>
          <t>RONNEBY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14099-2023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45009</v>
      </c>
      <c r="E438" s="1" t="n">
        <v>46276</v>
      </c>
      <c r="F438" t="inlineStr">
        <is>
          <t>BLEKINGE LÄN</t>
        </is>
      </c>
      <c r="G438" t="inlineStr">
        <is>
          <t>RONNEBY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45062</v>
      </c>
      <c r="E439" s="1" t="n">
        <v>46276</v>
      </c>
      <c r="F439" t="inlineStr">
        <is>
          <t>BLEKINGE LÄN</t>
        </is>
      </c>
      <c r="G439" t="inlineStr">
        <is>
          <t>RONNEBY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33535-2025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45841</v>
      </c>
      <c r="E440" s="1" t="n">
        <v>46276</v>
      </c>
      <c r="F440" t="inlineStr">
        <is>
          <t>BLEKINGE LÄN</t>
        </is>
      </c>
      <c r="G440" t="inlineStr">
        <is>
          <t>RONNEBY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46276</v>
      </c>
      <c r="F441" t="inlineStr">
        <is>
          <t>BLEKINGE LÄN</t>
        </is>
      </c>
      <c r="G441" t="inlineStr">
        <is>
          <t>RONNEBY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6819-2024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45342</v>
      </c>
      <c r="E442" s="1" t="n">
        <v>46276</v>
      </c>
      <c r="F442" t="inlineStr">
        <is>
          <t>BLEKINGE LÄN</t>
        </is>
      </c>
      <c r="G442" t="inlineStr">
        <is>
          <t>RONNEBY</t>
        </is>
      </c>
      <c r="I442" t="n">
        <v>15.2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45646</v>
      </c>
      <c r="E443" s="1" t="n">
        <v>46276</v>
      </c>
      <c r="F443" t="inlineStr">
        <is>
          <t>BLEKINGE LÄN</t>
        </is>
      </c>
      <c r="G443" t="inlineStr">
        <is>
          <t>RONNEBY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44713</v>
      </c>
      <c r="E444" s="1" t="n">
        <v>46276</v>
      </c>
      <c r="F444" t="inlineStr">
        <is>
          <t>BLEKINGE LÄN</t>
        </is>
      </c>
      <c r="G444" t="inlineStr">
        <is>
          <t>RONNEBY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46276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45426</v>
      </c>
      <c r="E446" s="1" t="n">
        <v>46276</v>
      </c>
      <c r="F446" t="inlineStr">
        <is>
          <t>BLEKINGE LÄN</t>
        </is>
      </c>
      <c r="G446" t="inlineStr">
        <is>
          <t>RONNEBY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46276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46276</v>
      </c>
      <c r="F448" t="inlineStr">
        <is>
          <t>BLEKINGE LÄN</t>
        </is>
      </c>
      <c r="G448" t="inlineStr">
        <is>
          <t>RONNEBY</t>
        </is>
      </c>
      <c r="H448" t="inlineStr">
        <is>
          <t>Kommuner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45194</v>
      </c>
      <c r="E449" s="1" t="n">
        <v>46276</v>
      </c>
      <c r="F449" t="inlineStr">
        <is>
          <t>BLEKINGE LÄN</t>
        </is>
      </c>
      <c r="G449" t="inlineStr">
        <is>
          <t>RONNEBY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23380-2026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46276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39032-2022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44817</v>
      </c>
      <c r="E451" s="1" t="n">
        <v>46276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41034-2024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46276</v>
      </c>
      <c r="F452" t="inlineStr">
        <is>
          <t>BLEKINGE LÄN</t>
        </is>
      </c>
      <c r="G452" t="inlineStr">
        <is>
          <t>RONNEBY</t>
        </is>
      </c>
      <c r="H452" t="inlineStr">
        <is>
          <t>Övriga Aktiebolag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46276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45328</v>
      </c>
      <c r="E454" s="1" t="n">
        <v>46276</v>
      </c>
      <c r="F454" t="inlineStr">
        <is>
          <t>BLEKINGE LÄN</t>
        </is>
      </c>
      <c r="G454" t="inlineStr">
        <is>
          <t>RONNEBY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45360</v>
      </c>
      <c r="E455" s="1" t="n">
        <v>46276</v>
      </c>
      <c r="F455" t="inlineStr">
        <is>
          <t>BLEKINGE LÄN</t>
        </is>
      </c>
      <c r="G455" t="inlineStr">
        <is>
          <t>RONNEBY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45360</v>
      </c>
      <c r="E456" s="1" t="n">
        <v>46276</v>
      </c>
      <c r="F456" t="inlineStr">
        <is>
          <t>BLEKINGE LÄN</t>
        </is>
      </c>
      <c r="G456" t="inlineStr">
        <is>
          <t>RONNEBY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46276</v>
      </c>
      <c r="F457" t="inlineStr">
        <is>
          <t>BLEKINGE LÄN</t>
        </is>
      </c>
      <c r="G457" t="inlineStr">
        <is>
          <t>RONNEBY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45104</v>
      </c>
      <c r="E458" s="1" t="n">
        <v>46276</v>
      </c>
      <c r="F458" t="inlineStr">
        <is>
          <t>BLEKINGE LÄN</t>
        </is>
      </c>
      <c r="G458" t="inlineStr">
        <is>
          <t>RONNEBY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46276</v>
      </c>
      <c r="F459" t="inlineStr">
        <is>
          <t>BLEKINGE LÄN</t>
        </is>
      </c>
      <c r="G459" t="inlineStr">
        <is>
          <t>RONNEBY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45775</v>
      </c>
      <c r="E460" s="1" t="n">
        <v>46276</v>
      </c>
      <c r="F460" t="inlineStr">
        <is>
          <t>BLEKINGE LÄN</t>
        </is>
      </c>
      <c r="G460" t="inlineStr">
        <is>
          <t>RONNEBY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46276</v>
      </c>
      <c r="F461" t="inlineStr">
        <is>
          <t>BLEKINGE LÄN</t>
        </is>
      </c>
      <c r="G461" t="inlineStr">
        <is>
          <t>RONNEBY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45105</v>
      </c>
      <c r="E462" s="1" t="n">
        <v>46276</v>
      </c>
      <c r="F462" t="inlineStr">
        <is>
          <t>BLEKINGE LÄN</t>
        </is>
      </c>
      <c r="G462" t="inlineStr">
        <is>
          <t>RONNEBY</t>
        </is>
      </c>
      <c r="H462" t="inlineStr">
        <is>
          <t>Kommuner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45075</v>
      </c>
      <c r="E463" s="1" t="n">
        <v>46276</v>
      </c>
      <c r="F463" t="inlineStr">
        <is>
          <t>BLEKINGE LÄN</t>
        </is>
      </c>
      <c r="G463" t="inlineStr">
        <is>
          <t>RONNEBY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46276</v>
      </c>
      <c r="F464" t="inlineStr">
        <is>
          <t>BLEKINGE LÄN</t>
        </is>
      </c>
      <c r="G464" t="inlineStr">
        <is>
          <t>RONNEBY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46276</v>
      </c>
      <c r="F465" t="inlineStr">
        <is>
          <t>BLEKINGE LÄN</t>
        </is>
      </c>
      <c r="G465" t="inlineStr">
        <is>
          <t>RONNEBY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7347-2022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44606</v>
      </c>
      <c r="E466" s="1" t="n">
        <v>46276</v>
      </c>
      <c r="F466" t="inlineStr">
        <is>
          <t>BLEKINGE LÄN</t>
        </is>
      </c>
      <c r="G466" t="inlineStr">
        <is>
          <t>RONNEBY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46171</v>
      </c>
      <c r="E467" s="1" t="n">
        <v>46276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45178</v>
      </c>
      <c r="E468" s="1" t="n">
        <v>46276</v>
      </c>
      <c r="F468" t="inlineStr">
        <is>
          <t>BLEKINGE LÄN</t>
        </is>
      </c>
      <c r="G468" t="inlineStr">
        <is>
          <t>RONNEBY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45068</v>
      </c>
      <c r="E469" s="1" t="n">
        <v>46276</v>
      </c>
      <c r="F469" t="inlineStr">
        <is>
          <t>BLEKINGE LÄN</t>
        </is>
      </c>
      <c r="G469" t="inlineStr">
        <is>
          <t>RONNEBY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45536</v>
      </c>
      <c r="E470" s="1" t="n">
        <v>46276</v>
      </c>
      <c r="F470" t="inlineStr">
        <is>
          <t>BLEKINGE LÄN</t>
        </is>
      </c>
      <c r="G470" t="inlineStr">
        <is>
          <t>RONNEBY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22814-2023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45072</v>
      </c>
      <c r="E471" s="1" t="n">
        <v>46276</v>
      </c>
      <c r="F471" t="inlineStr">
        <is>
          <t>BLEKINGE LÄN</t>
        </is>
      </c>
      <c r="G471" t="inlineStr">
        <is>
          <t>RONNEBY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46276</v>
      </c>
      <c r="F472" t="inlineStr">
        <is>
          <t>BLEKINGE LÄN</t>
        </is>
      </c>
      <c r="G472" t="inlineStr">
        <is>
          <t>RONNEBY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46646-2023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45195</v>
      </c>
      <c r="E473" s="1" t="n">
        <v>46276</v>
      </c>
      <c r="F473" t="inlineStr">
        <is>
          <t>BLEKINGE LÄN</t>
        </is>
      </c>
      <c r="G473" t="inlineStr">
        <is>
          <t>RONNEBY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24502-2023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46276</v>
      </c>
      <c r="F474" t="inlineStr">
        <is>
          <t>BLEKINGE LÄN</t>
        </is>
      </c>
      <c r="G474" t="inlineStr">
        <is>
          <t>RONNEBY</t>
        </is>
      </c>
      <c r="H474" t="inlineStr">
        <is>
          <t>Kommuner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45367-2023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45193</v>
      </c>
      <c r="E475" s="1" t="n">
        <v>46276</v>
      </c>
      <c r="F475" t="inlineStr">
        <is>
          <t>BLEKINGE LÄN</t>
        </is>
      </c>
      <c r="G475" t="inlineStr">
        <is>
          <t>RONNEBY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46276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45085</v>
      </c>
      <c r="E477" s="1" t="n">
        <v>46276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46276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46276</v>
      </c>
      <c r="F479" t="inlineStr">
        <is>
          <t>BLEKINGE LÄN</t>
        </is>
      </c>
      <c r="G479" t="inlineStr">
        <is>
          <t>RONNEBY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46276</v>
      </c>
      <c r="F480" t="inlineStr">
        <is>
          <t>BLEKINGE LÄN</t>
        </is>
      </c>
      <c r="G480" t="inlineStr">
        <is>
          <t>RONNEBY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26231-2023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46276</v>
      </c>
      <c r="F481" t="inlineStr">
        <is>
          <t>BLEKINGE LÄN</t>
        </is>
      </c>
      <c r="G481" t="inlineStr">
        <is>
          <t>RONNEBY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46276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46276</v>
      </c>
      <c r="F483" t="inlineStr">
        <is>
          <t>BLEKINGE LÄN</t>
        </is>
      </c>
      <c r="G483" t="inlineStr">
        <is>
          <t>RONNEBY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46276</v>
      </c>
      <c r="F484" t="inlineStr">
        <is>
          <t>BLEKINGE LÄN</t>
        </is>
      </c>
      <c r="G484" t="inlineStr">
        <is>
          <t>RONNEBY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26706-2026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46276</v>
      </c>
      <c r="F485" t="inlineStr">
        <is>
          <t>BLEKINGE LÄN</t>
        </is>
      </c>
      <c r="G485" t="inlineStr">
        <is>
          <t>RONNEBY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32537-2023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45110</v>
      </c>
      <c r="E486" s="1" t="n">
        <v>46276</v>
      </c>
      <c r="F486" t="inlineStr">
        <is>
          <t>BLEKINGE LÄN</t>
        </is>
      </c>
      <c r="G486" t="inlineStr">
        <is>
          <t>RONNEBY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45152</v>
      </c>
      <c r="E487" s="1" t="n">
        <v>46276</v>
      </c>
      <c r="F487" t="inlineStr">
        <is>
          <t>BLEKINGE LÄN</t>
        </is>
      </c>
      <c r="G487" t="inlineStr">
        <is>
          <t>RONNEBY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46276</v>
      </c>
      <c r="F488" t="inlineStr">
        <is>
          <t>BLEKINGE LÄN</t>
        </is>
      </c>
      <c r="G488" t="inlineStr">
        <is>
          <t>RONNEBY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41217-2023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46276</v>
      </c>
      <c r="F489" t="inlineStr">
        <is>
          <t>BLEKINGE LÄN</t>
        </is>
      </c>
      <c r="G489" t="inlineStr">
        <is>
          <t>RONNEBY</t>
        </is>
      </c>
      <c r="I489" t="n">
        <v>9.9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45118</v>
      </c>
      <c r="E490" s="1" t="n">
        <v>46276</v>
      </c>
      <c r="F490" t="inlineStr">
        <is>
          <t>BLEKINGE LÄN</t>
        </is>
      </c>
      <c r="G490" t="inlineStr">
        <is>
          <t>RONNEBY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45178</v>
      </c>
      <c r="E491" s="1" t="n">
        <v>46276</v>
      </c>
      <c r="F491" t="inlineStr">
        <is>
          <t>BLEKINGE LÄN</t>
        </is>
      </c>
      <c r="G491" t="inlineStr">
        <is>
          <t>RONNEBY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45062</v>
      </c>
      <c r="E492" s="1" t="n">
        <v>46276</v>
      </c>
      <c r="F492" t="inlineStr">
        <is>
          <t>BLEKINGE LÄN</t>
        </is>
      </c>
      <c r="G492" t="inlineStr">
        <is>
          <t>RONNEBY</t>
        </is>
      </c>
      <c r="H492" t="inlineStr">
        <is>
          <t>Kommuner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46884-2023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46276</v>
      </c>
      <c r="F493" t="inlineStr">
        <is>
          <t>BLEKINGE LÄN</t>
        </is>
      </c>
      <c r="G493" t="inlineStr">
        <is>
          <t>RONNEBY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46900-2023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45195</v>
      </c>
      <c r="E494" s="1" t="n">
        <v>46276</v>
      </c>
      <c r="F494" t="inlineStr">
        <is>
          <t>BLEKINGE LÄN</t>
        </is>
      </c>
      <c r="G494" t="inlineStr">
        <is>
          <t>RONNEBY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45027</v>
      </c>
      <c r="E495" s="1" t="n">
        <v>46276</v>
      </c>
      <c r="F495" t="inlineStr">
        <is>
          <t>BLEKINGE LÄN</t>
        </is>
      </c>
      <c r="G495" t="inlineStr">
        <is>
          <t>RONNEBY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45602</v>
      </c>
      <c r="E496" s="1" t="n">
        <v>46276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12414-2024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45378</v>
      </c>
      <c r="E497" s="1" t="n">
        <v>46276</v>
      </c>
      <c r="F497" t="inlineStr">
        <is>
          <t>BLEKINGE LÄN</t>
        </is>
      </c>
      <c r="G497" t="inlineStr">
        <is>
          <t>RONNEBY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20594-2024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46276</v>
      </c>
      <c r="F498" t="inlineStr">
        <is>
          <t>BLEKINGE LÄN</t>
        </is>
      </c>
      <c r="G498" t="inlineStr">
        <is>
          <t>RONNEBY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46276</v>
      </c>
      <c r="F499" t="inlineStr">
        <is>
          <t>BLEKINGE LÄN</t>
        </is>
      </c>
      <c r="G499" t="inlineStr">
        <is>
          <t>RONNEBY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45350</v>
      </c>
      <c r="E500" s="1" t="n">
        <v>46276</v>
      </c>
      <c r="F500" t="inlineStr">
        <is>
          <t>BLEKINGE LÄN</t>
        </is>
      </c>
      <c r="G500" t="inlineStr">
        <is>
          <t>RONNEBY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45303</v>
      </c>
      <c r="E501" s="1" t="n">
        <v>46276</v>
      </c>
      <c r="F501" t="inlineStr">
        <is>
          <t>BLEKINGE LÄN</t>
        </is>
      </c>
      <c r="G501" t="inlineStr">
        <is>
          <t>RONNEBY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46276</v>
      </c>
      <c r="F502" t="inlineStr">
        <is>
          <t>BLEKINGE LÄN</t>
        </is>
      </c>
      <c r="G502" t="inlineStr">
        <is>
          <t>RONNEBY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8330-2023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44974</v>
      </c>
      <c r="E503" s="1" t="n">
        <v>46276</v>
      </c>
      <c r="F503" t="inlineStr">
        <is>
          <t>BLEKINGE LÄN</t>
        </is>
      </c>
      <c r="G503" t="inlineStr">
        <is>
          <t>RONNEBY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36946-2022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44806</v>
      </c>
      <c r="E504" s="1" t="n">
        <v>46276</v>
      </c>
      <c r="F504" t="inlineStr">
        <is>
          <t>BLEKINGE LÄN</t>
        </is>
      </c>
      <c r="G504" t="inlineStr">
        <is>
          <t>RONNEBY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46276</v>
      </c>
      <c r="F505" t="inlineStr">
        <is>
          <t>BLEKINGE LÄN</t>
        </is>
      </c>
      <c r="G505" t="inlineStr">
        <is>
          <t>RONNEBY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46276</v>
      </c>
      <c r="F506" t="inlineStr">
        <is>
          <t>BLEKINGE LÄN</t>
        </is>
      </c>
      <c r="G506" t="inlineStr">
        <is>
          <t>RONNEBY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46276</v>
      </c>
      <c r="F507" t="inlineStr">
        <is>
          <t>BLEKINGE LÄN</t>
        </is>
      </c>
      <c r="G507" t="inlineStr">
        <is>
          <t>RONNEBY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44565</v>
      </c>
      <c r="E508" s="1" t="n">
        <v>46276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55079-2023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45237</v>
      </c>
      <c r="E509" s="1" t="n">
        <v>46276</v>
      </c>
      <c r="F509" t="inlineStr">
        <is>
          <t>BLEKINGE LÄN</t>
        </is>
      </c>
      <c r="G509" t="inlineStr">
        <is>
          <t>RONNEBY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46276</v>
      </c>
      <c r="F510" t="inlineStr">
        <is>
          <t>BLEKINGE LÄN</t>
        </is>
      </c>
      <c r="G510" t="inlineStr">
        <is>
          <t>RONNEBY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45921</v>
      </c>
      <c r="E511" s="1" t="n">
        <v>46276</v>
      </c>
      <c r="F511" t="inlineStr">
        <is>
          <t>BLEKINGE LÄN</t>
        </is>
      </c>
      <c r="G511" t="inlineStr">
        <is>
          <t>RONNEBY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31415-2022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44774</v>
      </c>
      <c r="E512" s="1" t="n">
        <v>46276</v>
      </c>
      <c r="F512" t="inlineStr">
        <is>
          <t>BLEKINGE LÄN</t>
        </is>
      </c>
      <c r="G512" t="inlineStr">
        <is>
          <t>RONNEBY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45545</v>
      </c>
      <c r="E513" s="1" t="n">
        <v>46276</v>
      </c>
      <c r="F513" t="inlineStr">
        <is>
          <t>BLEKINGE LÄN</t>
        </is>
      </c>
      <c r="G513" t="inlineStr">
        <is>
          <t>RONNEBY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46276</v>
      </c>
      <c r="F514" t="inlineStr">
        <is>
          <t>BLEKINGE LÄN</t>
        </is>
      </c>
      <c r="G514" t="inlineStr">
        <is>
          <t>RONNEBY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45430</v>
      </c>
      <c r="E515" s="1" t="n">
        <v>46276</v>
      </c>
      <c r="F515" t="inlineStr">
        <is>
          <t>BLEKINGE LÄN</t>
        </is>
      </c>
      <c r="G515" t="inlineStr">
        <is>
          <t>RONNEBY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28732-2026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46198</v>
      </c>
      <c r="E516" s="1" t="n">
        <v>46276</v>
      </c>
      <c r="F516" t="inlineStr">
        <is>
          <t>BLEKINGE LÄN</t>
        </is>
      </c>
      <c r="G516" t="inlineStr">
        <is>
          <t>RONNEBY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44956</v>
      </c>
      <c r="E517" s="1" t="n">
        <v>46276</v>
      </c>
      <c r="F517" t="inlineStr">
        <is>
          <t>BLEKINGE LÄN</t>
        </is>
      </c>
      <c r="G517" t="inlineStr">
        <is>
          <t>RONNEBY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6813-2024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46276</v>
      </c>
      <c r="F518" t="inlineStr">
        <is>
          <t>BLEKINGE LÄN</t>
        </is>
      </c>
      <c r="G518" t="inlineStr">
        <is>
          <t>RONNEBY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45342</v>
      </c>
      <c r="E519" s="1" t="n">
        <v>46276</v>
      </c>
      <c r="F519" t="inlineStr">
        <is>
          <t>BLEKINGE LÄN</t>
        </is>
      </c>
      <c r="G519" t="inlineStr">
        <is>
          <t>RONNEBY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19092-2024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45428</v>
      </c>
      <c r="E520" s="1" t="n">
        <v>46276</v>
      </c>
      <c r="F520" t="inlineStr">
        <is>
          <t>BLEKINGE LÄN</t>
        </is>
      </c>
      <c r="G520" t="inlineStr">
        <is>
          <t>RONNEBY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46276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11165-2025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45724</v>
      </c>
      <c r="E522" s="1" t="n">
        <v>46276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44651</v>
      </c>
      <c r="E523" s="1" t="n">
        <v>46276</v>
      </c>
      <c r="F523" t="inlineStr">
        <is>
          <t>BLEKINGE LÄN</t>
        </is>
      </c>
      <c r="G523" t="inlineStr">
        <is>
          <t>RONNEBY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29082-2026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46276</v>
      </c>
      <c r="F524" t="inlineStr">
        <is>
          <t>BLEKINGE LÄN</t>
        </is>
      </c>
      <c r="G524" t="inlineStr">
        <is>
          <t>RONNEBY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46276</v>
      </c>
      <c r="F525" t="inlineStr">
        <is>
          <t>BLEKINGE LÄN</t>
        </is>
      </c>
      <c r="G525" t="inlineStr">
        <is>
          <t>RONNEBY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46276</v>
      </c>
      <c r="F526" t="inlineStr">
        <is>
          <t>BLEKINGE LÄN</t>
        </is>
      </c>
      <c r="G526" t="inlineStr">
        <is>
          <t>RONNEBY</t>
        </is>
      </c>
      <c r="H526" t="inlineStr">
        <is>
          <t>Övriga Aktiebolag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16684-2024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45408</v>
      </c>
      <c r="E527" s="1" t="n">
        <v>46276</v>
      </c>
      <c r="F527" t="inlineStr">
        <is>
          <t>BLEKINGE LÄN</t>
        </is>
      </c>
      <c r="G527" t="inlineStr">
        <is>
          <t>RONNEBY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27400-2023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45097</v>
      </c>
      <c r="E528" s="1" t="n">
        <v>46276</v>
      </c>
      <c r="F528" t="inlineStr">
        <is>
          <t>BLEKINGE LÄN</t>
        </is>
      </c>
      <c r="G528" t="inlineStr">
        <is>
          <t>RONNEBY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46276</v>
      </c>
      <c r="F529" t="inlineStr">
        <is>
          <t>BLEKINGE LÄN</t>
        </is>
      </c>
      <c r="G529" t="inlineStr">
        <is>
          <t>RONNEBY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45051</v>
      </c>
      <c r="E530" s="1" t="n">
        <v>46276</v>
      </c>
      <c r="F530" t="inlineStr">
        <is>
          <t>BLEKINGE LÄN</t>
        </is>
      </c>
      <c r="G530" t="inlineStr">
        <is>
          <t>RONNEBY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46202</v>
      </c>
      <c r="E531" s="1" t="n">
        <v>46276</v>
      </c>
      <c r="F531" t="inlineStr">
        <is>
          <t>BLEKINGE LÄN</t>
        </is>
      </c>
      <c r="G531" t="inlineStr">
        <is>
          <t>RONNEBY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45006</v>
      </c>
      <c r="E532" s="1" t="n">
        <v>46276</v>
      </c>
      <c r="F532" t="inlineStr">
        <is>
          <t>BLEKINGE LÄN</t>
        </is>
      </c>
      <c r="G532" t="inlineStr">
        <is>
          <t>RONNEBY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34451-2023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45139</v>
      </c>
      <c r="E533" s="1" t="n">
        <v>46276</v>
      </c>
      <c r="F533" t="inlineStr">
        <is>
          <t>BLEKINGE LÄN</t>
        </is>
      </c>
      <c r="G533" t="inlineStr">
        <is>
          <t>RONNEBY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23424-2023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45076</v>
      </c>
      <c r="E534" s="1" t="n">
        <v>46276</v>
      </c>
      <c r="F534" t="inlineStr">
        <is>
          <t>BLEKINGE LÄN</t>
        </is>
      </c>
      <c r="G534" t="inlineStr">
        <is>
          <t>RONNEBY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39925-2022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44819</v>
      </c>
      <c r="E535" s="1" t="n">
        <v>46276</v>
      </c>
      <c r="F535" t="inlineStr">
        <is>
          <t>BLEKINGE LÄN</t>
        </is>
      </c>
      <c r="G535" t="inlineStr">
        <is>
          <t>RONNEBY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15196-2022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44658</v>
      </c>
      <c r="E536" s="1" t="n">
        <v>46276</v>
      </c>
      <c r="F536" t="inlineStr">
        <is>
          <t>BLEKINGE LÄN</t>
        </is>
      </c>
      <c r="G536" t="inlineStr">
        <is>
          <t>RONNEBY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46247</v>
      </c>
      <c r="E537" s="1" t="n">
        <v>46276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45685</v>
      </c>
      <c r="E538" s="1" t="n">
        <v>46276</v>
      </c>
      <c r="F538" t="inlineStr">
        <is>
          <t>BLEKINGE LÄN</t>
        </is>
      </c>
      <c r="G538" t="inlineStr">
        <is>
          <t>RONNEBY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46276</v>
      </c>
      <c r="F539" t="inlineStr">
        <is>
          <t>BLEKINGE LÄN</t>
        </is>
      </c>
      <c r="G539" t="inlineStr">
        <is>
          <t>RONNEBY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46276</v>
      </c>
      <c r="F540" t="inlineStr">
        <is>
          <t>BLEKINGE LÄN</t>
        </is>
      </c>
      <c r="G540" t="inlineStr">
        <is>
          <t>RONNEBY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46883-2023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45201</v>
      </c>
      <c r="E541" s="1" t="n">
        <v>46276</v>
      </c>
      <c r="F541" t="inlineStr">
        <is>
          <t>BLEKINGE LÄN</t>
        </is>
      </c>
      <c r="G541" t="inlineStr">
        <is>
          <t>RONNEBY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11242-2023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46276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21442-2023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45063</v>
      </c>
      <c r="E543" s="1" t="n">
        <v>46276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44748</v>
      </c>
      <c r="E544" s="1" t="n">
        <v>46276</v>
      </c>
      <c r="F544" t="inlineStr">
        <is>
          <t>BLEKINGE LÄN</t>
        </is>
      </c>
      <c r="G544" t="inlineStr">
        <is>
          <t>RONNEBY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29987-2026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46276</v>
      </c>
      <c r="F545" t="inlineStr">
        <is>
          <t>BLEKINGE LÄN</t>
        </is>
      </c>
      <c r="G545" t="inlineStr">
        <is>
          <t>RONNEBY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23820-2023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46276</v>
      </c>
      <c r="F546" t="inlineStr">
        <is>
          <t>BLEKINGE LÄN</t>
        </is>
      </c>
      <c r="G546" t="inlineStr">
        <is>
          <t>RONNEBY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45327</v>
      </c>
      <c r="E547" s="1" t="n">
        <v>46276</v>
      </c>
      <c r="F547" t="inlineStr">
        <is>
          <t>BLEKINGE LÄN</t>
        </is>
      </c>
      <c r="G547" t="inlineStr">
        <is>
          <t>RONNEBY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50198-2024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45600</v>
      </c>
      <c r="E548" s="1" t="n">
        <v>46276</v>
      </c>
      <c r="F548" t="inlineStr">
        <is>
          <t>BLEKINGE LÄN</t>
        </is>
      </c>
      <c r="G548" t="inlineStr">
        <is>
          <t>RONNEBY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53366-2021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44466</v>
      </c>
      <c r="E549" s="1" t="n">
        <v>46276</v>
      </c>
      <c r="F549" t="inlineStr">
        <is>
          <t>BLEKINGE LÄN</t>
        </is>
      </c>
      <c r="G549" t="inlineStr">
        <is>
          <t>RONNEBY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44980</v>
      </c>
      <c r="E550" s="1" t="n">
        <v>46276</v>
      </c>
      <c r="F550" t="inlineStr">
        <is>
          <t>BLEKINGE LÄN</t>
        </is>
      </c>
      <c r="G550" t="inlineStr">
        <is>
          <t>RONNEBY</t>
        </is>
      </c>
      <c r="H550" t="inlineStr">
        <is>
          <t>Övriga Aktiebolag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33519-2026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46248</v>
      </c>
      <c r="E551" s="1" t="n">
        <v>46276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46210</v>
      </c>
      <c r="E552" s="1" t="n">
        <v>46276</v>
      </c>
      <c r="F552" t="inlineStr">
        <is>
          <t>BLEKINGE LÄN</t>
        </is>
      </c>
      <c r="G552" t="inlineStr">
        <is>
          <t>RONNEBY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34039-2026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46252</v>
      </c>
      <c r="E553" s="1" t="n">
        <v>46276</v>
      </c>
      <c r="F553" t="inlineStr">
        <is>
          <t>BLEKINGE LÄN</t>
        </is>
      </c>
      <c r="G553" t="inlineStr">
        <is>
          <t>RONNEBY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44950</v>
      </c>
      <c r="E554" s="1" t="n">
        <v>46276</v>
      </c>
      <c r="F554" t="inlineStr">
        <is>
          <t>BLEKINGE LÄN</t>
        </is>
      </c>
      <c r="G554" t="inlineStr">
        <is>
          <t>RONNEBY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10920-2025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45722</v>
      </c>
      <c r="E555" s="1" t="n">
        <v>46276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46276</v>
      </c>
      <c r="F556" t="inlineStr">
        <is>
          <t>BLEKINGE LÄN</t>
        </is>
      </c>
      <c r="G556" t="inlineStr">
        <is>
          <t>RONNEBY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30564-2026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46210</v>
      </c>
      <c r="E557" s="1" t="n">
        <v>46276</v>
      </c>
      <c r="F557" t="inlineStr">
        <is>
          <t>BLEKINGE LÄN</t>
        </is>
      </c>
      <c r="G557" t="inlineStr">
        <is>
          <t>RONNEBY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46276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46276</v>
      </c>
      <c r="F559" t="inlineStr">
        <is>
          <t>BLEKINGE LÄN</t>
        </is>
      </c>
      <c r="G559" t="inlineStr">
        <is>
          <t>RONNEBY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45058</v>
      </c>
      <c r="E560" s="1" t="n">
        <v>46276</v>
      </c>
      <c r="F560" t="inlineStr">
        <is>
          <t>BLEKINGE LÄN</t>
        </is>
      </c>
      <c r="G560" t="inlineStr">
        <is>
          <t>RONNEBY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46276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24249-2026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46276</v>
      </c>
      <c r="F562" t="inlineStr">
        <is>
          <t>BLEKINGE LÄN</t>
        </is>
      </c>
      <c r="G562" t="inlineStr">
        <is>
          <t>RONNEBY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46212</v>
      </c>
      <c r="E563" s="1" t="n">
        <v>46276</v>
      </c>
      <c r="F563" t="inlineStr">
        <is>
          <t>BLEKINGE LÄN</t>
        </is>
      </c>
      <c r="G563" t="inlineStr">
        <is>
          <t>RONNEBY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46276</v>
      </c>
      <c r="F564" t="inlineStr">
        <is>
          <t>BLEKINGE LÄN</t>
        </is>
      </c>
      <c r="G564" t="inlineStr">
        <is>
          <t>RONNEBY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45194</v>
      </c>
      <c r="E565" s="1" t="n">
        <v>46276</v>
      </c>
      <c r="F565" t="inlineStr">
        <is>
          <t>BLEKINGE LÄN</t>
        </is>
      </c>
      <c r="G565" t="inlineStr">
        <is>
          <t>RONNEBY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46276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20580-2023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45057</v>
      </c>
      <c r="E567" s="1" t="n">
        <v>46276</v>
      </c>
      <c r="F567" t="inlineStr">
        <is>
          <t>BLEKINGE LÄN</t>
        </is>
      </c>
      <c r="G567" t="inlineStr">
        <is>
          <t>RONNEBY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14335-2023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45012</v>
      </c>
      <c r="E568" s="1" t="n">
        <v>46276</v>
      </c>
      <c r="F568" t="inlineStr">
        <is>
          <t>BLEKINGE LÄN</t>
        </is>
      </c>
      <c r="G568" t="inlineStr">
        <is>
          <t>RONNEBY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45012</v>
      </c>
      <c r="E569" s="1" t="n">
        <v>46276</v>
      </c>
      <c r="F569" t="inlineStr">
        <is>
          <t>BLEKINGE LÄN</t>
        </is>
      </c>
      <c r="G569" t="inlineStr">
        <is>
          <t>RONNEBY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58552-2022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44902</v>
      </c>
      <c r="E570" s="1" t="n">
        <v>46276</v>
      </c>
      <c r="F570" t="inlineStr">
        <is>
          <t>BLEKINGE LÄN</t>
        </is>
      </c>
      <c r="G570" t="inlineStr">
        <is>
          <t>RONNEBY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55350-2023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45238</v>
      </c>
      <c r="E571" s="1" t="n">
        <v>46276</v>
      </c>
      <c r="F571" t="inlineStr">
        <is>
          <t>BLEKINGE LÄN</t>
        </is>
      </c>
      <c r="G571" t="inlineStr">
        <is>
          <t>RONNEBY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46276</v>
      </c>
      <c r="F572" t="inlineStr">
        <is>
          <t>BLEKINGE LÄN</t>
        </is>
      </c>
      <c r="G572" t="inlineStr">
        <is>
          <t>RONNEBY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46276</v>
      </c>
      <c r="F573" t="inlineStr">
        <is>
          <t>BLEKINGE LÄN</t>
        </is>
      </c>
      <c r="G573" t="inlineStr">
        <is>
          <t>RONNEBY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45545</v>
      </c>
      <c r="E574" s="1" t="n">
        <v>46276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46218</v>
      </c>
      <c r="E575" s="1" t="n">
        <v>46276</v>
      </c>
      <c r="F575" t="inlineStr">
        <is>
          <t>BLEKINGE LÄN</t>
        </is>
      </c>
      <c r="G575" t="inlineStr">
        <is>
          <t>RONNEBY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35076-2026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46259</v>
      </c>
      <c r="E576" s="1" t="n">
        <v>46276</v>
      </c>
      <c r="F576" t="inlineStr">
        <is>
          <t>BLEKINGE LÄN</t>
        </is>
      </c>
      <c r="G576" t="inlineStr">
        <is>
          <t>RONNEBY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35077-2026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46276</v>
      </c>
      <c r="F577" t="inlineStr">
        <is>
          <t>BLEKINGE LÄN</t>
        </is>
      </c>
      <c r="G577" t="inlineStr">
        <is>
          <t>RONNEBY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46276</v>
      </c>
      <c r="F578" t="inlineStr">
        <is>
          <t>BLEKINGE LÄN</t>
        </is>
      </c>
      <c r="G578" t="inlineStr">
        <is>
          <t>RONNEBY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46276</v>
      </c>
      <c r="F579" t="inlineStr">
        <is>
          <t>BLEKINGE LÄN</t>
        </is>
      </c>
      <c r="G579" t="inlineStr">
        <is>
          <t>RONNEBY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35315-2026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46276</v>
      </c>
      <c r="F580" t="inlineStr">
        <is>
          <t>BLEKINGE LÄN</t>
        </is>
      </c>
      <c r="G580" t="inlineStr">
        <is>
          <t>RONNEBY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46265</v>
      </c>
      <c r="E581" s="1" t="n">
        <v>46276</v>
      </c>
      <c r="F581" t="inlineStr">
        <is>
          <t>BLEKINGE LÄN</t>
        </is>
      </c>
      <c r="G581" t="inlineStr">
        <is>
          <t>RONNEBY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46276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45104</v>
      </c>
      <c r="E583" s="1" t="n">
        <v>46276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44452-2024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45574</v>
      </c>
      <c r="E584" s="1" t="n">
        <v>46276</v>
      </c>
      <c r="F584" t="inlineStr">
        <is>
          <t>BLEKINGE LÄN</t>
        </is>
      </c>
      <c r="G584" t="inlineStr">
        <is>
          <t>RONNEBY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34888-2024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45527</v>
      </c>
      <c r="E585" s="1" t="n">
        <v>46276</v>
      </c>
      <c r="F585" t="inlineStr">
        <is>
          <t>BLEKINGE LÄN</t>
        </is>
      </c>
      <c r="G585" t="inlineStr">
        <is>
          <t>RONNEBY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46276</v>
      </c>
      <c r="F586" t="inlineStr">
        <is>
          <t>BLEKINGE LÄN</t>
        </is>
      </c>
      <c r="G586" t="inlineStr">
        <is>
          <t>RONNEBY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46276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46276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45691</v>
      </c>
      <c r="E589" s="1" t="n">
        <v>46276</v>
      </c>
      <c r="F589" t="inlineStr">
        <is>
          <t>BLEKINGE LÄN</t>
        </is>
      </c>
      <c r="G589" t="inlineStr">
        <is>
          <t>RONNEBY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14429-2024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45394</v>
      </c>
      <c r="E590" s="1" t="n">
        <v>46276</v>
      </c>
      <c r="F590" t="inlineStr">
        <is>
          <t>BLEKINGE LÄN</t>
        </is>
      </c>
      <c r="G590" t="inlineStr">
        <is>
          <t>RONNEBY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52279-2024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46276</v>
      </c>
      <c r="F591" t="inlineStr">
        <is>
          <t>BLEKINGE LÄN</t>
        </is>
      </c>
      <c r="G591" t="inlineStr">
        <is>
          <t>RONNEBY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46276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46276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45502</v>
      </c>
      <c r="E594" s="1" t="n">
        <v>46276</v>
      </c>
      <c r="F594" t="inlineStr">
        <is>
          <t>BLEKINGE LÄN</t>
        </is>
      </c>
      <c r="G594" t="inlineStr">
        <is>
          <t>RONNEBY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35762-2026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46265</v>
      </c>
      <c r="E595" s="1" t="n">
        <v>46276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46276</v>
      </c>
      <c r="F596" t="inlineStr">
        <is>
          <t>BLEKINGE LÄN</t>
        </is>
      </c>
      <c r="G596" t="inlineStr">
        <is>
          <t>RONNEBY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45785</v>
      </c>
      <c r="E597" s="1" t="n">
        <v>46276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45567</v>
      </c>
      <c r="E598" s="1" t="n">
        <v>46276</v>
      </c>
      <c r="F598" t="inlineStr">
        <is>
          <t>BLEKINGE LÄN</t>
        </is>
      </c>
      <c r="G598" t="inlineStr">
        <is>
          <t>RONNEBY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34884-2024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46276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38463-2024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46276</v>
      </c>
      <c r="F600" t="inlineStr">
        <is>
          <t>BLEKINGE LÄN</t>
        </is>
      </c>
      <c r="G600" t="inlineStr">
        <is>
          <t>RONNEBY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36305-2026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46268</v>
      </c>
      <c r="E601" s="1" t="n">
        <v>46276</v>
      </c>
      <c r="F601" t="inlineStr">
        <is>
          <t>BLEKINGE LÄN</t>
        </is>
      </c>
      <c r="G601" t="inlineStr">
        <is>
          <t>RONNEBY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11168-2025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45724</v>
      </c>
      <c r="E602" s="1" t="n">
        <v>46276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46276</v>
      </c>
      <c r="F603" t="inlineStr">
        <is>
          <t>BLEKINGE LÄN</t>
        </is>
      </c>
      <c r="G603" t="inlineStr">
        <is>
          <t>RONNEBY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45530</v>
      </c>
      <c r="E604" s="1" t="n">
        <v>46276</v>
      </c>
      <c r="F604" t="inlineStr">
        <is>
          <t>BLEKINGE LÄN</t>
        </is>
      </c>
      <c r="G604" t="inlineStr">
        <is>
          <t>RONNEBY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45646</v>
      </c>
      <c r="E605" s="1" t="n">
        <v>46276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46276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39564-2024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45551</v>
      </c>
      <c r="E607" s="1" t="n">
        <v>46276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64469-2023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46276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36219-2026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46267</v>
      </c>
      <c r="E609" s="1" t="n">
        <v>46276</v>
      </c>
      <c r="F609" t="inlineStr">
        <is>
          <t>BLEKINGE LÄN</t>
        </is>
      </c>
      <c r="G609" t="inlineStr">
        <is>
          <t>RONNEBY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46226</v>
      </c>
      <c r="E610" s="1" t="n">
        <v>46276</v>
      </c>
      <c r="F610" t="inlineStr">
        <is>
          <t>BLEKINGE LÄN</t>
        </is>
      </c>
      <c r="G610" t="inlineStr">
        <is>
          <t>RONNEBY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46268</v>
      </c>
      <c r="E611" s="1" t="n">
        <v>46276</v>
      </c>
      <c r="F611" t="inlineStr">
        <is>
          <t>BLEKINGE LÄN</t>
        </is>
      </c>
      <c r="G611" t="inlineStr">
        <is>
          <t>RONNEBY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46276</v>
      </c>
      <c r="F612" t="inlineStr">
        <is>
          <t>BLEKINGE LÄN</t>
        </is>
      </c>
      <c r="G612" t="inlineStr">
        <is>
          <t>RONNEBY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23383-2025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45791</v>
      </c>
      <c r="E613" s="1" t="n">
        <v>46276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36736-2026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46272</v>
      </c>
      <c r="E614" s="1" t="n">
        <v>46276</v>
      </c>
      <c r="F614" t="inlineStr">
        <is>
          <t>BLEKINGE LÄN</t>
        </is>
      </c>
      <c r="G614" t="inlineStr">
        <is>
          <t>RONNEBY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46276</v>
      </c>
      <c r="F615" t="inlineStr">
        <is>
          <t>BLEKINGE LÄN</t>
        </is>
      </c>
      <c r="G615" t="inlineStr">
        <is>
          <t>RONNEBY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46229</v>
      </c>
      <c r="E616" s="1" t="n">
        <v>46276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35640-2026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46265</v>
      </c>
      <c r="E617" s="1" t="n">
        <v>46276</v>
      </c>
      <c r="F617" t="inlineStr">
        <is>
          <t>BLEKINGE LÄN</t>
        </is>
      </c>
      <c r="G617" t="inlineStr">
        <is>
          <t>RONNEBY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46276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46276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46276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46276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46276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46276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46276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46276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46276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46276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46276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46276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46276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46276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46276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46276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46276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2026-09-11T02:10:19Z</dcterms:created>
  <dcterms:modified xmlns:dcterms="http://purl.org/dc/terms/" xmlns:xsi="http://www.w3.org/2001/XMLSchema-instance" xsi:type="dcterms:W3CDTF">2026-09-11T02:10:19Z</dcterms:modified>
</cp:coreProperties>
</file>