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46291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46291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46291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46291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46291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46291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46291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46291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46291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46291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46291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46291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46291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46291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46291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46291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46291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46291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46291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46291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46291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46291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46291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46291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46291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46291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46291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8961-2024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46291</v>
      </c>
      <c r="F38" t="inlineStr">
        <is>
          <t>BLEKINGE LÄN</t>
        </is>
      </c>
      <c r="G38" t="inlineStr">
        <is>
          <t>RONNEBY</t>
        </is>
      </c>
      <c r="I38" t="n">
        <v>19.7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HYPERLINK("https://klasma.github.io/Logging_1081/artfynd/A 8961-2024 artfynd.xlsx", "A 8961-2024")</f>
        <v/>
      </c>
      <c r="X38">
        <f>HYPERLINK("https://klasma.github.io/Logging_1081/kartor/A 8961-2024 karta.png", "A 8961-2024")</f>
        <v/>
      </c>
      <c r="Y38">
        <f>HYPERLINK("https://klasma.github.io/Logging_1081/kartor_geotiff/A 8961-2024 georefererad karta.tif", "A 8961-2024")</f>
        <v/>
      </c>
      <c r="AA38">
        <f>HYPERLINK("https://klasma.github.io/Logging_1081/klagomål/A 8961-2024 FSC-klagomål.docx", "A 8961-2024")</f>
        <v/>
      </c>
      <c r="AB38">
        <f>HYPERLINK("https://klasma.github.io/Logging_1081/klagomålsmail/A 8961-2024 FSC-klagomål mail.docx", "A 8961-2024")</f>
        <v/>
      </c>
      <c r="AC38">
        <f>HYPERLINK("https://klasma.github.io/Logging_1081/tillsyn/A 8961-2024 tillsynsbegäran.docx", "A 8961-2024")</f>
        <v/>
      </c>
      <c r="AD38">
        <f>HYPERLINK("https://klasma.github.io/Logging_1081/tillsynsmail/A 8961-2024 tillsynsbegäran mail.docx", "A 8961-2024")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46291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46291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46291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46291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21446-2023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46291</v>
      </c>
      <c r="F43" t="inlineStr">
        <is>
          <t>BLEKINGE LÄN</t>
        </is>
      </c>
      <c r="G43" t="inlineStr">
        <is>
          <t>RONNEBY</t>
        </is>
      </c>
      <c r="H43" t="inlineStr">
        <is>
          <t>Kommuner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HYPERLINK("https://klasma.github.io/Logging_1081/artfynd/A 21446-2023 artfynd.xlsx", "A 21446-2023")</f>
        <v/>
      </c>
      <c r="X43">
        <f>HYPERLINK("https://klasma.github.io/Logging_1081/kartor/A 21446-2023 karta.png", "A 21446-2023")</f>
        <v/>
      </c>
      <c r="Y43">
        <f>HYPERLINK("https://klasma.github.io/Logging_1081/kartor_geotiff/A 21446-2023 georefererad karta.tif", "A 21446-2023")</f>
        <v/>
      </c>
      <c r="AA43">
        <f>HYPERLINK("https://klasma.github.io/Logging_1081/klagomål/A 21446-2023 FSC-klagomål.docx", "A 21446-2023")</f>
        <v/>
      </c>
      <c r="AB43">
        <f>HYPERLINK("https://klasma.github.io/Logging_1081/klagomålsmail/A 21446-2023 FSC-klagomål mail.docx", "A 21446-2023")</f>
        <v/>
      </c>
      <c r="AC43">
        <f>HYPERLINK("https://klasma.github.io/Logging_1081/tillsyn/A 21446-2023 tillsynsbegäran.docx", "A 21446-2023")</f>
        <v/>
      </c>
      <c r="AD43">
        <f>HYPERLINK("https://klasma.github.io/Logging_1081/tillsynsmail/A 21446-2023 tillsynsbegäran mail.docx", "A 21446-2023")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46291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45413-2023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46291</v>
      </c>
      <c r="F45" t="inlineStr">
        <is>
          <t>BLEKINGE LÄN</t>
        </is>
      </c>
      <c r="G45" t="inlineStr">
        <is>
          <t>RONNEBY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Jungfrulin</t>
        </is>
      </c>
      <c r="W45">
        <f>HYPERLINK("https://klasma.github.io/Logging_1081/artfynd/A 45413-2023 artfynd.xlsx", "A 45413-2023")</f>
        <v/>
      </c>
      <c r="X45">
        <f>HYPERLINK("https://klasma.github.io/Logging_1081/kartor/A 45413-2023 karta.png", "A 45413-2023")</f>
        <v/>
      </c>
      <c r="Y45">
        <f>HYPERLINK("https://klasma.github.io/Logging_1081/kartor_geotiff/A 45413-2023 georefererad karta.tif", "A 45413-2023")</f>
        <v/>
      </c>
      <c r="AA45">
        <f>HYPERLINK("https://klasma.github.io/Logging_1081/klagomål/A 45413-2023 FSC-klagomål.docx", "A 45413-2023")</f>
        <v/>
      </c>
      <c r="AB45">
        <f>HYPERLINK("https://klasma.github.io/Logging_1081/klagomålsmail/A 45413-2023 FSC-klagomål mail.docx", "A 45413-2023")</f>
        <v/>
      </c>
      <c r="AC45">
        <f>HYPERLINK("https://klasma.github.io/Logging_1081/tillsyn/A 45413-2023 tillsynsbegäran.docx", "A 45413-2023")</f>
        <v/>
      </c>
      <c r="AD45">
        <f>HYPERLINK("https://klasma.github.io/Logging_1081/tillsynsmail/A 45413-2023 tillsynsbegäran mail.docx", "A 45413-2023")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46291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Tibast</t>
        </is>
      </c>
      <c r="W46">
        <f>HYPERLINK("https://klasma.github.io/Logging_1081/artfynd/A 9309-2023 artfynd.xlsx", "A 9309-2023")</f>
        <v/>
      </c>
      <c r="X46">
        <f>HYPERLINK("https://klasma.github.io/Logging_1081/kartor/A 9309-2023 karta.png", "A 9309-2023")</f>
        <v/>
      </c>
      <c r="Y46">
        <f>HYPERLINK("https://klasma.github.io/Logging_1081/kartor_geotiff/A 9309-2023 georefererad karta.tif", "A 9309-2023")</f>
        <v/>
      </c>
      <c r="AA46">
        <f>HYPERLINK("https://klasma.github.io/Logging_1081/klagomål/A 9309-2023 FSC-klagomål.docx", "A 9309-2023")</f>
        <v/>
      </c>
      <c r="AB46">
        <f>HYPERLINK("https://klasma.github.io/Logging_1081/klagomålsmail/A 9309-2023 FSC-klagomål mail.docx", "A 9309-2023")</f>
        <v/>
      </c>
      <c r="AC46">
        <f>HYPERLINK("https://klasma.github.io/Logging_1081/tillsyn/A 9309-2023 tillsynsbegäran.docx", "A 9309-2023")</f>
        <v/>
      </c>
      <c r="AD46">
        <f>HYPERLINK("https://klasma.github.io/Logging_1081/tillsynsmail/A 9309-2023 tillsynsbegäran mail.docx", "A 9309-2023")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46291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9922-2025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45717</v>
      </c>
      <c r="E48" s="1" t="n">
        <v>46291</v>
      </c>
      <c r="F48" t="inlineStr">
        <is>
          <t>BLEKINGE LÄN</t>
        </is>
      </c>
      <c r="G48" t="inlineStr">
        <is>
          <t>RONNEBY</t>
        </is>
      </c>
      <c r="I48" t="n">
        <v>2.3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Trädporella</t>
        </is>
      </c>
      <c r="W48">
        <f>HYPERLINK("https://klasma.github.io/Logging_1081/artfynd/A 9922-2025 artfynd.xlsx", "A 9922-2025")</f>
        <v/>
      </c>
      <c r="X48">
        <f>HYPERLINK("https://klasma.github.io/Logging_1081/kartor/A 9922-2025 karta.png", "A 9922-2025")</f>
        <v/>
      </c>
      <c r="Y48">
        <f>HYPERLINK("https://klasma.github.io/Logging_1081/kartor_geotiff/A 9922-2025 georefererad karta.tif", "A 9922-2025")</f>
        <v/>
      </c>
      <c r="AA48">
        <f>HYPERLINK("https://klasma.github.io/Logging_1081/klagomål/A 9922-2025 FSC-klagomål.docx", "A 9922-2025")</f>
        <v/>
      </c>
      <c r="AB48">
        <f>HYPERLINK("https://klasma.github.io/Logging_1081/klagomålsmail/A 9922-2025 FSC-klagomål mail.docx", "A 9922-2025")</f>
        <v/>
      </c>
      <c r="AC48">
        <f>HYPERLINK("https://klasma.github.io/Logging_1081/tillsyn/A 9922-2025 tillsynsbegäran.docx", "A 9922-2025")</f>
        <v/>
      </c>
      <c r="AD48">
        <f>HYPERLINK("https://klasma.github.io/Logging_1081/tillsynsmail/A 9922-2025 tillsynsbegäran mail.docx", "A 9922-2025")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46291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46291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46291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46291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46291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46291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46291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46291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46291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46291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46291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46291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46291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46291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46291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46291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46291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46291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46291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46291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46291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46291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46291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46291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46291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46291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46291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46291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46291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46291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46291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46291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46291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46291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46291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46291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46291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46291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46291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46291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46291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66288-2021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46291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46291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46291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46291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46291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46291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46291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46291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46291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46291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46291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46291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46291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46291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46291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46291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46291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46291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46291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46291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46291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46291</v>
      </c>
      <c r="F111" t="inlineStr">
        <is>
          <t>BLEKINGE LÄN</t>
        </is>
      </c>
      <c r="G111" t="inlineStr">
        <is>
          <t>RONNEBY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45196</v>
      </c>
      <c r="E112" s="1" t="n">
        <v>46291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44778</v>
      </c>
      <c r="E113" s="1" t="n">
        <v>46291</v>
      </c>
      <c r="F113" t="inlineStr">
        <is>
          <t>BLEKINGE LÄN</t>
        </is>
      </c>
      <c r="G113" t="inlineStr">
        <is>
          <t>RONNEBY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45360</v>
      </c>
      <c r="E114" s="1" t="n">
        <v>46291</v>
      </c>
      <c r="F114" t="inlineStr">
        <is>
          <t>BLEKINGE LÄN</t>
        </is>
      </c>
      <c r="G114" t="inlineStr">
        <is>
          <t>RONNEBY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45051</v>
      </c>
      <c r="E115" s="1" t="n">
        <v>46291</v>
      </c>
      <c r="F115" t="inlineStr">
        <is>
          <t>BLEKINGE LÄN</t>
        </is>
      </c>
      <c r="G115" t="inlineStr">
        <is>
          <t>RONNEBY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45536</v>
      </c>
      <c r="E116" s="1" t="n">
        <v>46291</v>
      </c>
      <c r="F116" t="inlineStr">
        <is>
          <t>BLEKINGE LÄN</t>
        </is>
      </c>
      <c r="G116" t="inlineStr">
        <is>
          <t>RONNEBY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45310</v>
      </c>
      <c r="E117" s="1" t="n">
        <v>46291</v>
      </c>
      <c r="F117" t="inlineStr">
        <is>
          <t>BLEKINGE LÄN</t>
        </is>
      </c>
      <c r="G117" t="inlineStr">
        <is>
          <t>RONNEBY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46291</v>
      </c>
      <c r="F118" t="inlineStr">
        <is>
          <t>BLEKINGE LÄN</t>
        </is>
      </c>
      <c r="G118" t="inlineStr">
        <is>
          <t>RONNEBY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46291</v>
      </c>
      <c r="F119" t="inlineStr">
        <is>
          <t>BLEKINGE LÄN</t>
        </is>
      </c>
      <c r="G119" t="inlineStr">
        <is>
          <t>RONNEBY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46291</v>
      </c>
      <c r="F120" t="inlineStr">
        <is>
          <t>BLEKINGE LÄN</t>
        </is>
      </c>
      <c r="G120" t="inlineStr">
        <is>
          <t>RONNEBY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45342</v>
      </c>
      <c r="E121" s="1" t="n">
        <v>46291</v>
      </c>
      <c r="F121" t="inlineStr">
        <is>
          <t>BLEKINGE LÄN</t>
        </is>
      </c>
      <c r="G121" t="inlineStr">
        <is>
          <t>RONNEBY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46291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46291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46291</v>
      </c>
      <c r="F124" t="inlineStr">
        <is>
          <t>BLEKINGE LÄN</t>
        </is>
      </c>
      <c r="G124" t="inlineStr">
        <is>
          <t>RONNEBY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45381</v>
      </c>
      <c r="E125" s="1" t="n">
        <v>46291</v>
      </c>
      <c r="F125" t="inlineStr">
        <is>
          <t>BLEKINGE LÄN</t>
        </is>
      </c>
      <c r="G125" t="inlineStr">
        <is>
          <t>RONNEBY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46291</v>
      </c>
      <c r="F126" t="inlineStr">
        <is>
          <t>BLEKINGE LÄN</t>
        </is>
      </c>
      <c r="G126" t="inlineStr">
        <is>
          <t>RONNEBY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46291</v>
      </c>
      <c r="F127" t="inlineStr">
        <is>
          <t>BLEKINGE LÄN</t>
        </is>
      </c>
      <c r="G127" t="inlineStr">
        <is>
          <t>RONNEBY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46291</v>
      </c>
      <c r="F128" t="inlineStr">
        <is>
          <t>BLEKINGE LÄN</t>
        </is>
      </c>
      <c r="G128" t="inlineStr">
        <is>
          <t>RONNEBY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45121</v>
      </c>
      <c r="E129" s="1" t="n">
        <v>46291</v>
      </c>
      <c r="F129" t="inlineStr">
        <is>
          <t>BLEKINGE LÄN</t>
        </is>
      </c>
      <c r="G129" t="inlineStr">
        <is>
          <t>RONNEBY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46291</v>
      </c>
      <c r="F130" t="inlineStr">
        <is>
          <t>BLEKINGE LÄN</t>
        </is>
      </c>
      <c r="G130" t="inlineStr">
        <is>
          <t>RONNEBY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45505</v>
      </c>
      <c r="E131" s="1" t="n">
        <v>46291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46291</v>
      </c>
      <c r="F132" t="inlineStr">
        <is>
          <t>BLEKINGE LÄN</t>
        </is>
      </c>
      <c r="G132" t="inlineStr">
        <is>
          <t>RONNEBY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44884</v>
      </c>
      <c r="E133" s="1" t="n">
        <v>46291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46291</v>
      </c>
      <c r="F134" t="inlineStr">
        <is>
          <t>BLEKINGE LÄN</t>
        </is>
      </c>
      <c r="G134" t="inlineStr">
        <is>
          <t>RONNEBY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44939</v>
      </c>
      <c r="E135" s="1" t="n">
        <v>46291</v>
      </c>
      <c r="F135" t="inlineStr">
        <is>
          <t>BLEKINGE LÄN</t>
        </is>
      </c>
      <c r="G135" t="inlineStr">
        <is>
          <t>RONNEBY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46291</v>
      </c>
      <c r="F136" t="inlineStr">
        <is>
          <t>BLEKINGE LÄN</t>
        </is>
      </c>
      <c r="G136" t="inlineStr">
        <is>
          <t>RONNEBY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46291</v>
      </c>
      <c r="F137" t="inlineStr">
        <is>
          <t>BLEKINGE LÄN</t>
        </is>
      </c>
      <c r="G137" t="inlineStr">
        <is>
          <t>RONNEBY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46291</v>
      </c>
      <c r="F138" t="inlineStr">
        <is>
          <t>BLEKINGE LÄN</t>
        </is>
      </c>
      <c r="G138" t="inlineStr">
        <is>
          <t>RONNEBY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46291</v>
      </c>
      <c r="F139" t="inlineStr">
        <is>
          <t>BLEKINGE LÄN</t>
        </is>
      </c>
      <c r="G139" t="inlineStr">
        <is>
          <t>RONNEBY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44980</v>
      </c>
      <c r="E140" s="1" t="n">
        <v>46291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46291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46291</v>
      </c>
      <c r="F142" t="inlineStr">
        <is>
          <t>BLEKINGE LÄN</t>
        </is>
      </c>
      <c r="G142" t="inlineStr">
        <is>
          <t>RONNEBY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46291</v>
      </c>
      <c r="F143" t="inlineStr">
        <is>
          <t>BLEKINGE LÄN</t>
        </is>
      </c>
      <c r="G143" t="inlineStr">
        <is>
          <t>RONNEBY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46291</v>
      </c>
      <c r="F144" t="inlineStr">
        <is>
          <t>BLEKINGE LÄN</t>
        </is>
      </c>
      <c r="G144" t="inlineStr">
        <is>
          <t>RONNEBY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46291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46291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46291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45892</v>
      </c>
      <c r="E148" s="1" t="n">
        <v>46291</v>
      </c>
      <c r="F148" t="inlineStr">
        <is>
          <t>BLEKINGE LÄN</t>
        </is>
      </c>
      <c r="G148" t="inlineStr">
        <is>
          <t>RONNEBY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46291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45194</v>
      </c>
      <c r="E150" s="1" t="n">
        <v>46291</v>
      </c>
      <c r="F150" t="inlineStr">
        <is>
          <t>BLEKINGE LÄN</t>
        </is>
      </c>
      <c r="G150" t="inlineStr">
        <is>
          <t>RONNEBY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45619</v>
      </c>
      <c r="E151" s="1" t="n">
        <v>46291</v>
      </c>
      <c r="F151" t="inlineStr">
        <is>
          <t>BLEKINGE LÄN</t>
        </is>
      </c>
      <c r="G151" t="inlineStr">
        <is>
          <t>RONNEBY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46291</v>
      </c>
      <c r="F152" t="inlineStr">
        <is>
          <t>BLEKINGE LÄN</t>
        </is>
      </c>
      <c r="G152" t="inlineStr">
        <is>
          <t>RONNEBY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46291</v>
      </c>
      <c r="F153" t="inlineStr">
        <is>
          <t>BLEKINGE LÄN</t>
        </is>
      </c>
      <c r="G153" t="inlineStr">
        <is>
          <t>RONNEBY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45597</v>
      </c>
      <c r="E154" s="1" t="n">
        <v>46291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46291</v>
      </c>
      <c r="F155" t="inlineStr">
        <is>
          <t>BLEKINGE LÄN</t>
        </is>
      </c>
      <c r="G155" t="inlineStr">
        <is>
          <t>RONNEBY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46291</v>
      </c>
      <c r="F156" t="inlineStr">
        <is>
          <t>BLEKINGE LÄN</t>
        </is>
      </c>
      <c r="G156" t="inlineStr">
        <is>
          <t>RONNEBY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46291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46046</v>
      </c>
      <c r="E158" s="1" t="n">
        <v>46291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46291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46291</v>
      </c>
      <c r="F160" t="inlineStr">
        <is>
          <t>BLEKINGE LÄN</t>
        </is>
      </c>
      <c r="G160" t="inlineStr">
        <is>
          <t>RONNEBY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46291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46050</v>
      </c>
      <c r="E162" s="1" t="n">
        <v>46291</v>
      </c>
      <c r="F162" t="inlineStr">
        <is>
          <t>BLEKINGE LÄN</t>
        </is>
      </c>
      <c r="G162" t="inlineStr">
        <is>
          <t>RONNEBY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46291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46291</v>
      </c>
      <c r="F164" t="inlineStr">
        <is>
          <t>BLEKINGE LÄN</t>
        </is>
      </c>
      <c r="G164" t="inlineStr">
        <is>
          <t>RONNEBY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46291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46291</v>
      </c>
      <c r="F166" t="inlineStr">
        <is>
          <t>BLEKINGE LÄN</t>
        </is>
      </c>
      <c r="G166" t="inlineStr">
        <is>
          <t>RONNEBY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46291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46291</v>
      </c>
      <c r="F168" t="inlineStr">
        <is>
          <t>BLEKINGE LÄN</t>
        </is>
      </c>
      <c r="G168" t="inlineStr">
        <is>
          <t>RONNEBY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46291</v>
      </c>
      <c r="F169" t="inlineStr">
        <is>
          <t>BLEKINGE LÄN</t>
        </is>
      </c>
      <c r="G169" t="inlineStr">
        <is>
          <t>RONNEBY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46291</v>
      </c>
      <c r="F170" t="inlineStr">
        <is>
          <t>BLEKINGE LÄN</t>
        </is>
      </c>
      <c r="G170" t="inlineStr">
        <is>
          <t>RONNEBY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46291</v>
      </c>
      <c r="F171" t="inlineStr">
        <is>
          <t>BLEKINGE LÄN</t>
        </is>
      </c>
      <c r="G171" t="inlineStr">
        <is>
          <t>RONNEBY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43291-2025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45910</v>
      </c>
      <c r="E172" s="1" t="n">
        <v>46291</v>
      </c>
      <c r="F172" t="inlineStr">
        <is>
          <t>BLEKINGE LÄN</t>
        </is>
      </c>
      <c r="G172" t="inlineStr">
        <is>
          <t>RONNEBY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46291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46291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46291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46291</v>
      </c>
      <c r="F176" t="inlineStr">
        <is>
          <t>BLEKINGE LÄN</t>
        </is>
      </c>
      <c r="G176" t="inlineStr">
        <is>
          <t>RONNEBY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46291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46291</v>
      </c>
      <c r="F178" t="inlineStr">
        <is>
          <t>BLEKINGE LÄN</t>
        </is>
      </c>
      <c r="G178" t="inlineStr">
        <is>
          <t>RONNEBY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54065-2024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45616</v>
      </c>
      <c r="E179" s="1" t="n">
        <v>46291</v>
      </c>
      <c r="F179" t="inlineStr">
        <is>
          <t>BLEKINGE LÄN</t>
        </is>
      </c>
      <c r="G179" t="inlineStr">
        <is>
          <t>RONNEBY</t>
        </is>
      </c>
      <c r="H179" t="inlineStr">
        <is>
          <t>Kommuner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45178</v>
      </c>
      <c r="E180" s="1" t="n">
        <v>46291</v>
      </c>
      <c r="F180" t="inlineStr">
        <is>
          <t>BLEKINGE LÄN</t>
        </is>
      </c>
      <c r="G180" t="inlineStr">
        <is>
          <t>RONNEBY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46291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46291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46291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46291</v>
      </c>
      <c r="F184" t="inlineStr">
        <is>
          <t>BLEKINGE LÄN</t>
        </is>
      </c>
      <c r="G184" t="inlineStr">
        <is>
          <t>RONNEBY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46291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46291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46291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46291</v>
      </c>
      <c r="F188" t="inlineStr">
        <is>
          <t>BLEKINGE LÄN</t>
        </is>
      </c>
      <c r="G188" t="inlineStr">
        <is>
          <t>RONNEBY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46291</v>
      </c>
      <c r="F189" t="inlineStr">
        <is>
          <t>BLEKINGE LÄN</t>
        </is>
      </c>
      <c r="G189" t="inlineStr">
        <is>
          <t>RONNEBY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46291</v>
      </c>
      <c r="F190" t="inlineStr">
        <is>
          <t>BLEKINGE LÄN</t>
        </is>
      </c>
      <c r="G190" t="inlineStr">
        <is>
          <t>RONNEBY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46291</v>
      </c>
      <c r="F191" t="inlineStr">
        <is>
          <t>BLEKINGE LÄN</t>
        </is>
      </c>
      <c r="G191" t="inlineStr">
        <is>
          <t>RONNEBY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46291</v>
      </c>
      <c r="F192" t="inlineStr">
        <is>
          <t>BLEKINGE LÄN</t>
        </is>
      </c>
      <c r="G192" t="inlineStr">
        <is>
          <t>RONNEBY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58618-2021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46291</v>
      </c>
      <c r="F193" t="inlineStr">
        <is>
          <t>BLEKINGE LÄN</t>
        </is>
      </c>
      <c r="G193" t="inlineStr">
        <is>
          <t>RONNEBY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46291</v>
      </c>
      <c r="F194" t="inlineStr">
        <is>
          <t>BLEKINGE LÄN</t>
        </is>
      </c>
      <c r="G194" t="inlineStr">
        <is>
          <t>RONNEBY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46291</v>
      </c>
      <c r="F195" t="inlineStr">
        <is>
          <t>BLEKINGE LÄN</t>
        </is>
      </c>
      <c r="G195" t="inlineStr">
        <is>
          <t>RONNEBY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46291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46291</v>
      </c>
      <c r="F197" t="inlineStr">
        <is>
          <t>BLEKINGE LÄN</t>
        </is>
      </c>
      <c r="G197" t="inlineStr">
        <is>
          <t>RONNEBY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30197-2024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45490</v>
      </c>
      <c r="E198" s="1" t="n">
        <v>46291</v>
      </c>
      <c r="F198" t="inlineStr">
        <is>
          <t>BLEKINGE LÄN</t>
        </is>
      </c>
      <c r="G198" t="inlineStr">
        <is>
          <t>RONNEBY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46291</v>
      </c>
      <c r="F199" t="inlineStr">
        <is>
          <t>BLEKINGE LÄN</t>
        </is>
      </c>
      <c r="G199" t="inlineStr">
        <is>
          <t>RONNEBY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46291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46291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46291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46291</v>
      </c>
      <c r="F203" t="inlineStr">
        <is>
          <t>BLEKINGE LÄN</t>
        </is>
      </c>
      <c r="G203" t="inlineStr">
        <is>
          <t>RONNEBY</t>
        </is>
      </c>
      <c r="H203" t="inlineStr">
        <is>
          <t>Kommuner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46291</v>
      </c>
      <c r="F204" t="inlineStr">
        <is>
          <t>BLEKINGE LÄN</t>
        </is>
      </c>
      <c r="G204" t="inlineStr">
        <is>
          <t>RONNEBY</t>
        </is>
      </c>
      <c r="H204" t="inlineStr">
        <is>
          <t>Kyrkan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45192</v>
      </c>
      <c r="E205" s="1" t="n">
        <v>46291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46291</v>
      </c>
      <c r="F206" t="inlineStr">
        <is>
          <t>BLEKINGE LÄN</t>
        </is>
      </c>
      <c r="G206" t="inlineStr">
        <is>
          <t>RONNEBY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46291</v>
      </c>
      <c r="F207" t="inlineStr">
        <is>
          <t>BLEKINGE LÄN</t>
        </is>
      </c>
      <c r="G207" t="inlineStr">
        <is>
          <t>RONNEBY</t>
        </is>
      </c>
      <c r="H207" t="inlineStr">
        <is>
          <t>Kyrkan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46291</v>
      </c>
      <c r="F208" t="inlineStr">
        <is>
          <t>BLEKINGE LÄN</t>
        </is>
      </c>
      <c r="G208" t="inlineStr">
        <is>
          <t>RONNEBY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46291</v>
      </c>
      <c r="F209" t="inlineStr">
        <is>
          <t>BLEKINGE LÄN</t>
        </is>
      </c>
      <c r="G209" t="inlineStr">
        <is>
          <t>RONNEBY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46291</v>
      </c>
      <c r="F210" t="inlineStr">
        <is>
          <t>BLEKINGE LÄN</t>
        </is>
      </c>
      <c r="G210" t="inlineStr">
        <is>
          <t>RONNEBY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46291</v>
      </c>
      <c r="F211" t="inlineStr">
        <is>
          <t>BLEKINGE LÄN</t>
        </is>
      </c>
      <c r="G211" t="inlineStr">
        <is>
          <t>RONNEBY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46291</v>
      </c>
      <c r="F212" t="inlineStr">
        <is>
          <t>BLEKINGE LÄN</t>
        </is>
      </c>
      <c r="G212" t="inlineStr">
        <is>
          <t>RONNEBY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46291</v>
      </c>
      <c r="F213" t="inlineStr">
        <is>
          <t>BLEKINGE LÄN</t>
        </is>
      </c>
      <c r="G213" t="inlineStr">
        <is>
          <t>RONNEBY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46291</v>
      </c>
      <c r="F214" t="inlineStr">
        <is>
          <t>BLEKINGE LÄN</t>
        </is>
      </c>
      <c r="G214" t="inlineStr">
        <is>
          <t>RONNEBY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46291</v>
      </c>
      <c r="F215" t="inlineStr">
        <is>
          <t>BLEKINGE LÄN</t>
        </is>
      </c>
      <c r="G215" t="inlineStr">
        <is>
          <t>RONNEBY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46291</v>
      </c>
      <c r="F216" t="inlineStr">
        <is>
          <t>BLEKINGE LÄN</t>
        </is>
      </c>
      <c r="G216" t="inlineStr">
        <is>
          <t>RONNEBY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46291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46291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46291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46291</v>
      </c>
      <c r="F220" t="inlineStr">
        <is>
          <t>BLEKINGE LÄN</t>
        </is>
      </c>
      <c r="G220" t="inlineStr">
        <is>
          <t>RONNEBY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46291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46291</v>
      </c>
      <c r="F222" t="inlineStr">
        <is>
          <t>BLEKINGE LÄN</t>
        </is>
      </c>
      <c r="G222" t="inlineStr">
        <is>
          <t>RONNEBY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46291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46291</v>
      </c>
      <c r="F224" t="inlineStr">
        <is>
          <t>BLEKINGE LÄN</t>
        </is>
      </c>
      <c r="G224" t="inlineStr">
        <is>
          <t>RONNEBY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46291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46291</v>
      </c>
      <c r="F226" t="inlineStr">
        <is>
          <t>BLEKINGE LÄN</t>
        </is>
      </c>
      <c r="G226" t="inlineStr">
        <is>
          <t>RONNEBY</t>
        </is>
      </c>
      <c r="H226" t="inlineStr">
        <is>
          <t>Kommuner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44944</v>
      </c>
      <c r="E227" s="1" t="n">
        <v>46291</v>
      </c>
      <c r="F227" t="inlineStr">
        <is>
          <t>BLEKINGE LÄN</t>
        </is>
      </c>
      <c r="G227" t="inlineStr">
        <is>
          <t>RONNEBY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46291</v>
      </c>
      <c r="F228" t="inlineStr">
        <is>
          <t>BLEKINGE LÄN</t>
        </is>
      </c>
      <c r="G228" t="inlineStr">
        <is>
          <t>RONNEBY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46291</v>
      </c>
      <c r="F229" t="inlineStr">
        <is>
          <t>BLEKINGE LÄN</t>
        </is>
      </c>
      <c r="G229" t="inlineStr">
        <is>
          <t>RONNEBY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46291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46291</v>
      </c>
      <c r="F231" t="inlineStr">
        <is>
          <t>BLEKINGE LÄN</t>
        </is>
      </c>
      <c r="G231" t="inlineStr">
        <is>
          <t>RONNEBY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46291</v>
      </c>
      <c r="F232" t="inlineStr">
        <is>
          <t>BLEKINGE LÄN</t>
        </is>
      </c>
      <c r="G232" t="inlineStr">
        <is>
          <t>RONNEBY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46291</v>
      </c>
      <c r="F233" t="inlineStr">
        <is>
          <t>BLEKINGE LÄN</t>
        </is>
      </c>
      <c r="G233" t="inlineStr">
        <is>
          <t>RONNEBY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46291</v>
      </c>
      <c r="F234" t="inlineStr">
        <is>
          <t>BLEKINGE LÄN</t>
        </is>
      </c>
      <c r="G234" t="inlineStr">
        <is>
          <t>RONNEBY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46291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46291</v>
      </c>
      <c r="F236" t="inlineStr">
        <is>
          <t>BLEKINGE LÄN</t>
        </is>
      </c>
      <c r="G236" t="inlineStr">
        <is>
          <t>RONNEBY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45739</v>
      </c>
      <c r="E237" s="1" t="n">
        <v>46291</v>
      </c>
      <c r="F237" t="inlineStr">
        <is>
          <t>BLEKINGE LÄN</t>
        </is>
      </c>
      <c r="G237" t="inlineStr">
        <is>
          <t>RONNEBY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46291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46291</v>
      </c>
      <c r="F239" t="inlineStr">
        <is>
          <t>BLEKINGE LÄN</t>
        </is>
      </c>
      <c r="G239" t="inlineStr">
        <is>
          <t>RONNEBY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46291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46291</v>
      </c>
      <c r="F241" t="inlineStr">
        <is>
          <t>BLEKINGE LÄN</t>
        </is>
      </c>
      <c r="G241" t="inlineStr">
        <is>
          <t>RONNEBY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46104</v>
      </c>
      <c r="E242" s="1" t="n">
        <v>46291</v>
      </c>
      <c r="F242" t="inlineStr">
        <is>
          <t>BLEKINGE LÄN</t>
        </is>
      </c>
      <c r="G242" t="inlineStr">
        <is>
          <t>RONNEBY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46291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46291</v>
      </c>
      <c r="F244" t="inlineStr">
        <is>
          <t>BLEKINGE LÄN</t>
        </is>
      </c>
      <c r="G244" t="inlineStr">
        <is>
          <t>RONNEBY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46291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46291</v>
      </c>
      <c r="F246" t="inlineStr">
        <is>
          <t>BLEKINGE LÄN</t>
        </is>
      </c>
      <c r="G246" t="inlineStr">
        <is>
          <t>RONNEBY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15111-2026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46291</v>
      </c>
      <c r="F247" t="inlineStr">
        <is>
          <t>BLEKINGE LÄN</t>
        </is>
      </c>
      <c r="G247" t="inlineStr">
        <is>
          <t>RONNEBY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46291</v>
      </c>
      <c r="F248" t="inlineStr">
        <is>
          <t>BLEKINGE LÄN</t>
        </is>
      </c>
      <c r="G248" t="inlineStr">
        <is>
          <t>RONNEBY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46291</v>
      </c>
      <c r="F249" t="inlineStr">
        <is>
          <t>BLEKINGE LÄN</t>
        </is>
      </c>
      <c r="G249" t="inlineStr">
        <is>
          <t>RONNEBY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46291</v>
      </c>
      <c r="F250" t="inlineStr">
        <is>
          <t>BLEKINGE LÄN</t>
        </is>
      </c>
      <c r="G250" t="inlineStr">
        <is>
          <t>RONNEBY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46291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45012</v>
      </c>
      <c r="E252" s="1" t="n">
        <v>46291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statliga verk och myndigheter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46291</v>
      </c>
      <c r="F253" t="inlineStr">
        <is>
          <t>BLEKINGE LÄN</t>
        </is>
      </c>
      <c r="G253" t="inlineStr">
        <is>
          <t>RONNEBY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45299</v>
      </c>
      <c r="E254" s="1" t="n">
        <v>46291</v>
      </c>
      <c r="F254" t="inlineStr">
        <is>
          <t>BLEKINGE LÄN</t>
        </is>
      </c>
      <c r="G254" t="inlineStr">
        <is>
          <t>RONNEBY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46291</v>
      </c>
      <c r="F255" t="inlineStr">
        <is>
          <t>BLEKINGE LÄN</t>
        </is>
      </c>
      <c r="G255" t="inlineStr">
        <is>
          <t>RONNEBY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46291</v>
      </c>
      <c r="F256" t="inlineStr">
        <is>
          <t>BLEKINGE LÄN</t>
        </is>
      </c>
      <c r="G256" t="inlineStr">
        <is>
          <t>RONNEBY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46291</v>
      </c>
      <c r="F257" t="inlineStr">
        <is>
          <t>BLEKINGE LÄN</t>
        </is>
      </c>
      <c r="G257" t="inlineStr">
        <is>
          <t>RONNEBY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46291</v>
      </c>
      <c r="F258" t="inlineStr">
        <is>
          <t>BLEKINGE LÄN</t>
        </is>
      </c>
      <c r="G258" t="inlineStr">
        <is>
          <t>RONNEBY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46291</v>
      </c>
      <c r="F259" t="inlineStr">
        <is>
          <t>BLEKINGE LÄN</t>
        </is>
      </c>
      <c r="G259" t="inlineStr">
        <is>
          <t>RONNEBY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45480</v>
      </c>
      <c r="E260" s="1" t="n">
        <v>46291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46291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46291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46291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45061</v>
      </c>
      <c r="E264" s="1" t="n">
        <v>46291</v>
      </c>
      <c r="F264" t="inlineStr">
        <is>
          <t>BLEKINGE LÄN</t>
        </is>
      </c>
      <c r="G264" t="inlineStr">
        <is>
          <t>RONNEBY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46291</v>
      </c>
      <c r="F265" t="inlineStr">
        <is>
          <t>BLEKINGE LÄN</t>
        </is>
      </c>
      <c r="G265" t="inlineStr">
        <is>
          <t>RONNEBY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46291</v>
      </c>
      <c r="F266" t="inlineStr">
        <is>
          <t>BLEKINGE LÄN</t>
        </is>
      </c>
      <c r="G266" t="inlineStr">
        <is>
          <t>RONNEBY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46291</v>
      </c>
      <c r="F267" t="inlineStr">
        <is>
          <t>BLEKINGE LÄN</t>
        </is>
      </c>
      <c r="G267" t="inlineStr">
        <is>
          <t>RONNEBY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46291</v>
      </c>
      <c r="F268" t="inlineStr">
        <is>
          <t>BLEKINGE LÄN</t>
        </is>
      </c>
      <c r="G268" t="inlineStr">
        <is>
          <t>RONNEBY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46291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46291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46291</v>
      </c>
      <c r="F271" t="inlineStr">
        <is>
          <t>BLEKINGE LÄN</t>
        </is>
      </c>
      <c r="G271" t="inlineStr">
        <is>
          <t>RONNEBY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46291</v>
      </c>
      <c r="F272" t="inlineStr">
        <is>
          <t>BLEKINGE LÄN</t>
        </is>
      </c>
      <c r="G272" t="inlineStr">
        <is>
          <t>RONNEBY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46291</v>
      </c>
      <c r="F273" t="inlineStr">
        <is>
          <t>BLEKINGE LÄN</t>
        </is>
      </c>
      <c r="G273" t="inlineStr">
        <is>
          <t>RONNEBY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58648-2025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45986</v>
      </c>
      <c r="E274" s="1" t="n">
        <v>46291</v>
      </c>
      <c r="F274" t="inlineStr">
        <is>
          <t>BLEKINGE LÄN</t>
        </is>
      </c>
      <c r="G274" t="inlineStr">
        <is>
          <t>RONNEBY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46291</v>
      </c>
      <c r="F275" t="inlineStr">
        <is>
          <t>BLEKINGE LÄN</t>
        </is>
      </c>
      <c r="G275" t="inlineStr">
        <is>
          <t>RONNEBY</t>
        </is>
      </c>
      <c r="I275" t="n">
        <v>11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46291</v>
      </c>
      <c r="F276" t="inlineStr">
        <is>
          <t>BLEKINGE LÄN</t>
        </is>
      </c>
      <c r="G276" t="inlineStr">
        <is>
          <t>RONNEBY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54248-2025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45964</v>
      </c>
      <c r="E277" s="1" t="n">
        <v>46291</v>
      </c>
      <c r="F277" t="inlineStr">
        <is>
          <t>BLEKINGE LÄN</t>
        </is>
      </c>
      <c r="G277" t="inlineStr">
        <is>
          <t>RONNEBY</t>
        </is>
      </c>
      <c r="H277" t="inlineStr">
        <is>
          <t>Kommuner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45178</v>
      </c>
      <c r="E278" s="1" t="n">
        <v>46291</v>
      </c>
      <c r="F278" t="inlineStr">
        <is>
          <t>BLEKINGE LÄN</t>
        </is>
      </c>
      <c r="G278" t="inlineStr">
        <is>
          <t>RONNEBY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45677</v>
      </c>
      <c r="E279" s="1" t="n">
        <v>46291</v>
      </c>
      <c r="F279" t="inlineStr">
        <is>
          <t>BLEKINGE LÄN</t>
        </is>
      </c>
      <c r="G279" t="inlineStr">
        <is>
          <t>RONNEBY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46291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46291</v>
      </c>
      <c r="F281" t="inlineStr">
        <is>
          <t>BLEKINGE LÄN</t>
        </is>
      </c>
      <c r="G281" t="inlineStr">
        <is>
          <t>RONNEBY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45821</v>
      </c>
      <c r="E282" s="1" t="n">
        <v>46291</v>
      </c>
      <c r="F282" t="inlineStr">
        <is>
          <t>BLEKINGE LÄN</t>
        </is>
      </c>
      <c r="G282" t="inlineStr">
        <is>
          <t>RONNEBY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46291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45673</v>
      </c>
      <c r="E284" s="1" t="n">
        <v>46291</v>
      </c>
      <c r="F284" t="inlineStr">
        <is>
          <t>BLEKINGE LÄN</t>
        </is>
      </c>
      <c r="G284" t="inlineStr">
        <is>
          <t>RONNEBY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46291</v>
      </c>
      <c r="F285" t="inlineStr">
        <is>
          <t>BLEKINGE LÄN</t>
        </is>
      </c>
      <c r="G285" t="inlineStr">
        <is>
          <t>RONNEBY</t>
        </is>
      </c>
      <c r="I285" t="n">
        <v>14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46291</v>
      </c>
      <c r="F286" t="inlineStr">
        <is>
          <t>BLEKINGE LÄN</t>
        </is>
      </c>
      <c r="G286" t="inlineStr">
        <is>
          <t>RONNEBY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46291</v>
      </c>
      <c r="F287" t="inlineStr">
        <is>
          <t>BLEKINGE LÄN</t>
        </is>
      </c>
      <c r="G287" t="inlineStr">
        <is>
          <t>RONNEBY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46291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46291</v>
      </c>
      <c r="F289" t="inlineStr">
        <is>
          <t>BLEKINGE LÄN</t>
        </is>
      </c>
      <c r="G289" t="inlineStr">
        <is>
          <t>RONNEBY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46291</v>
      </c>
      <c r="F290" t="inlineStr">
        <is>
          <t>BLEKINGE LÄN</t>
        </is>
      </c>
      <c r="G290" t="inlineStr">
        <is>
          <t>RONNEBY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46291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46291</v>
      </c>
      <c r="F292" t="inlineStr">
        <is>
          <t>BLEKINGE LÄN</t>
        </is>
      </c>
      <c r="G292" t="inlineStr">
        <is>
          <t>RONNEBY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46291</v>
      </c>
      <c r="F293" t="inlineStr">
        <is>
          <t>BLEKINGE LÄN</t>
        </is>
      </c>
      <c r="G293" t="inlineStr">
        <is>
          <t>RONNEBY</t>
        </is>
      </c>
      <c r="I293" t="n">
        <v>12.6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46291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Aktiebolag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35396-2025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46291</v>
      </c>
      <c r="F295" t="inlineStr">
        <is>
          <t>BLEKINGE LÄN</t>
        </is>
      </c>
      <c r="G295" t="inlineStr">
        <is>
          <t>RONNEBY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46291</v>
      </c>
      <c r="F296" t="inlineStr">
        <is>
          <t>BLEKINGE LÄN</t>
        </is>
      </c>
      <c r="G296" t="inlineStr">
        <is>
          <t>RONNEBY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46291</v>
      </c>
      <c r="F297" t="inlineStr">
        <is>
          <t>BLEKINGE LÄN</t>
        </is>
      </c>
      <c r="G297" t="inlineStr">
        <is>
          <t>RONNEBY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46291</v>
      </c>
      <c r="F298" t="inlineStr">
        <is>
          <t>BLEKINGE LÄN</t>
        </is>
      </c>
      <c r="G298" t="inlineStr">
        <is>
          <t>RONNEBY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44822</v>
      </c>
      <c r="E299" s="1" t="n">
        <v>46291</v>
      </c>
      <c r="F299" t="inlineStr">
        <is>
          <t>BLEKINGE LÄN</t>
        </is>
      </c>
      <c r="G299" t="inlineStr">
        <is>
          <t>RONNEBY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46291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46291</v>
      </c>
      <c r="F301" t="inlineStr">
        <is>
          <t>BLEKINGE LÄN</t>
        </is>
      </c>
      <c r="G301" t="inlineStr">
        <is>
          <t>RONNEBY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46291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46291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46291</v>
      </c>
      <c r="F304" t="inlineStr">
        <is>
          <t>BLEKINGE LÄN</t>
        </is>
      </c>
      <c r="G304" t="inlineStr">
        <is>
          <t>RONNEBY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46291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46291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44739</v>
      </c>
      <c r="E307" s="1" t="n">
        <v>46291</v>
      </c>
      <c r="F307" t="inlineStr">
        <is>
          <t>BLEKINGE LÄN</t>
        </is>
      </c>
      <c r="G307" t="inlineStr">
        <is>
          <t>RONNEBY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62465-2025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46007</v>
      </c>
      <c r="E308" s="1" t="n">
        <v>46291</v>
      </c>
      <c r="F308" t="inlineStr">
        <is>
          <t>BLEKINGE LÄN</t>
        </is>
      </c>
      <c r="G308" t="inlineStr">
        <is>
          <t>RONNEBY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46291</v>
      </c>
      <c r="F309" t="inlineStr">
        <is>
          <t>BLEKINGE LÄN</t>
        </is>
      </c>
      <c r="G309" t="inlineStr">
        <is>
          <t>RONNEBY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46291</v>
      </c>
      <c r="F310" t="inlineStr">
        <is>
          <t>BLEKINGE LÄN</t>
        </is>
      </c>
      <c r="G310" t="inlineStr">
        <is>
          <t>RONNEBY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46291</v>
      </c>
      <c r="F311" t="inlineStr">
        <is>
          <t>BLEKINGE LÄN</t>
        </is>
      </c>
      <c r="G311" t="inlineStr">
        <is>
          <t>RONNEBY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45482</v>
      </c>
      <c r="E312" s="1" t="n">
        <v>46291</v>
      </c>
      <c r="F312" t="inlineStr">
        <is>
          <t>BLEKINGE LÄN</t>
        </is>
      </c>
      <c r="G312" t="inlineStr">
        <is>
          <t>RONNEBY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45085</v>
      </c>
      <c r="E313" s="1" t="n">
        <v>46291</v>
      </c>
      <c r="F313" t="inlineStr">
        <is>
          <t>BLEKINGE LÄN</t>
        </is>
      </c>
      <c r="G313" t="inlineStr">
        <is>
          <t>RONNEBY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45193</v>
      </c>
      <c r="E314" s="1" t="n">
        <v>46291</v>
      </c>
      <c r="F314" t="inlineStr">
        <is>
          <t>BLEKINGE LÄN</t>
        </is>
      </c>
      <c r="G314" t="inlineStr">
        <is>
          <t>RONNEBY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46291</v>
      </c>
      <c r="F315" t="inlineStr">
        <is>
          <t>BLEKINGE LÄN</t>
        </is>
      </c>
      <c r="G315" t="inlineStr">
        <is>
          <t>RONNEBY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46291</v>
      </c>
      <c r="F316" t="inlineStr">
        <is>
          <t>BLEKINGE LÄN</t>
        </is>
      </c>
      <c r="G316" t="inlineStr">
        <is>
          <t>RONNEBY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46291</v>
      </c>
      <c r="F317" t="inlineStr">
        <is>
          <t>BLEKINGE LÄN</t>
        </is>
      </c>
      <c r="G317" t="inlineStr">
        <is>
          <t>RONNEBY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45413</v>
      </c>
      <c r="E318" s="1" t="n">
        <v>46291</v>
      </c>
      <c r="F318" t="inlineStr">
        <is>
          <t>BLEKINGE LÄN</t>
        </is>
      </c>
      <c r="G318" t="inlineStr">
        <is>
          <t>RONNEBY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44748</v>
      </c>
      <c r="E319" s="1" t="n">
        <v>46291</v>
      </c>
      <c r="F319" t="inlineStr">
        <is>
          <t>BLEKINGE LÄN</t>
        </is>
      </c>
      <c r="G319" t="inlineStr">
        <is>
          <t>RONNEBY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45743</v>
      </c>
      <c r="E320" s="1" t="n">
        <v>46291</v>
      </c>
      <c r="F320" t="inlineStr">
        <is>
          <t>BLEKINGE LÄN</t>
        </is>
      </c>
      <c r="G320" t="inlineStr">
        <is>
          <t>RONNEBY</t>
        </is>
      </c>
      <c r="H320" t="inlineStr">
        <is>
          <t>Kommuner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46291</v>
      </c>
      <c r="F321" t="inlineStr">
        <is>
          <t>BLEKINGE LÄN</t>
        </is>
      </c>
      <c r="G321" t="inlineStr">
        <is>
          <t>RONNEBY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46291</v>
      </c>
      <c r="F322" t="inlineStr">
        <is>
          <t>BLEKINGE LÄN</t>
        </is>
      </c>
      <c r="G322" t="inlineStr">
        <is>
          <t>RONNEBY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46291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44916</v>
      </c>
      <c r="E324" s="1" t="n">
        <v>46291</v>
      </c>
      <c r="F324" t="inlineStr">
        <is>
          <t>BLEKINGE LÄN</t>
        </is>
      </c>
      <c r="G324" t="inlineStr">
        <is>
          <t>RONNEBY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46291</v>
      </c>
      <c r="F325" t="inlineStr">
        <is>
          <t>BLEKINGE LÄN</t>
        </is>
      </c>
      <c r="G325" t="inlineStr">
        <is>
          <t>RONNEBY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44862</v>
      </c>
      <c r="E326" s="1" t="n">
        <v>46291</v>
      </c>
      <c r="F326" t="inlineStr">
        <is>
          <t>BLEKINGE LÄN</t>
        </is>
      </c>
      <c r="G326" t="inlineStr">
        <is>
          <t>RONNEBY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46291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46291</v>
      </c>
      <c r="F328" t="inlineStr">
        <is>
          <t>BLEKINGE LÄN</t>
        </is>
      </c>
      <c r="G328" t="inlineStr">
        <is>
          <t>RONNEBY</t>
        </is>
      </c>
      <c r="H328" t="inlineStr">
        <is>
          <t>Övriga Aktiebolag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46291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46291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46291</v>
      </c>
      <c r="F331" t="inlineStr">
        <is>
          <t>BLEKINGE LÄN</t>
        </is>
      </c>
      <c r="G331" t="inlineStr">
        <is>
          <t>RONNEBY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46147</v>
      </c>
      <c r="E332" s="1" t="n">
        <v>46291</v>
      </c>
      <c r="F332" t="inlineStr">
        <is>
          <t>BLEKINGE LÄN</t>
        </is>
      </c>
      <c r="G332" t="inlineStr">
        <is>
          <t>RONNEBY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46291</v>
      </c>
      <c r="F333" t="inlineStr">
        <is>
          <t>BLEKINGE LÄN</t>
        </is>
      </c>
      <c r="G333" t="inlineStr">
        <is>
          <t>RONNEBY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46291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46291</v>
      </c>
      <c r="F335" t="inlineStr">
        <is>
          <t>BLEKINGE LÄN</t>
        </is>
      </c>
      <c r="G335" t="inlineStr">
        <is>
          <t>RONNEBY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53366-2021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46291</v>
      </c>
      <c r="F336" t="inlineStr">
        <is>
          <t>BLEKINGE LÄN</t>
        </is>
      </c>
      <c r="G336" t="inlineStr">
        <is>
          <t>RONNEBY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46291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53817-2022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44880</v>
      </c>
      <c r="E338" s="1" t="n">
        <v>46291</v>
      </c>
      <c r="F338" t="inlineStr">
        <is>
          <t>BLEKINGE LÄN</t>
        </is>
      </c>
      <c r="G338" t="inlineStr">
        <is>
          <t>RONNEBY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46291</v>
      </c>
      <c r="F339" t="inlineStr">
        <is>
          <t>BLEKINGE LÄN</t>
        </is>
      </c>
      <c r="G339" t="inlineStr">
        <is>
          <t>RONNEBY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50201-2024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46291</v>
      </c>
      <c r="F340" t="inlineStr">
        <is>
          <t>BLEKINGE LÄN</t>
        </is>
      </c>
      <c r="G340" t="inlineStr">
        <is>
          <t>RONNEBY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46291</v>
      </c>
      <c r="F341" t="inlineStr">
        <is>
          <t>BLEKINGE LÄN</t>
        </is>
      </c>
      <c r="G341" t="inlineStr">
        <is>
          <t>RONNEBY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46291</v>
      </c>
      <c r="F342" t="inlineStr">
        <is>
          <t>BLEKINGE LÄN</t>
        </is>
      </c>
      <c r="G342" t="inlineStr">
        <is>
          <t>RONNEBY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46291</v>
      </c>
      <c r="F343" t="inlineStr">
        <is>
          <t>BLEKINGE LÄN</t>
        </is>
      </c>
      <c r="G343" t="inlineStr">
        <is>
          <t>RONNEBY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46291</v>
      </c>
      <c r="F344" t="inlineStr">
        <is>
          <t>BLEKINGE LÄN</t>
        </is>
      </c>
      <c r="G344" t="inlineStr">
        <is>
          <t>RONNEBY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46291</v>
      </c>
      <c r="F345" t="inlineStr">
        <is>
          <t>BLEKINGE LÄN</t>
        </is>
      </c>
      <c r="G345" t="inlineStr">
        <is>
          <t>RONNEBY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46291</v>
      </c>
      <c r="F346" t="inlineStr">
        <is>
          <t>BLEKINGE LÄN</t>
        </is>
      </c>
      <c r="G346" t="inlineStr">
        <is>
          <t>RONNEBY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46291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46291</v>
      </c>
      <c r="F348" t="inlineStr">
        <is>
          <t>BLEKINGE LÄN</t>
        </is>
      </c>
      <c r="G348" t="inlineStr">
        <is>
          <t>RONNEBY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46291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45303</v>
      </c>
      <c r="E350" s="1" t="n">
        <v>46291</v>
      </c>
      <c r="F350" t="inlineStr">
        <is>
          <t>BLEKINGE LÄN</t>
        </is>
      </c>
      <c r="G350" t="inlineStr">
        <is>
          <t>RONNEBY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46291</v>
      </c>
      <c r="F351" t="inlineStr">
        <is>
          <t>BLEKINGE LÄN</t>
        </is>
      </c>
      <c r="G351" t="inlineStr">
        <is>
          <t>RONNEBY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46291</v>
      </c>
      <c r="F352" t="inlineStr">
        <is>
          <t>BLEKINGE LÄN</t>
        </is>
      </c>
      <c r="G352" t="inlineStr">
        <is>
          <t>RONNEBY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45407-2023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45194</v>
      </c>
      <c r="E353" s="1" t="n">
        <v>46291</v>
      </c>
      <c r="F353" t="inlineStr">
        <is>
          <t>BLEKINGE LÄN</t>
        </is>
      </c>
      <c r="G353" t="inlineStr">
        <is>
          <t>RONNEBY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33535-2025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45841</v>
      </c>
      <c r="E354" s="1" t="n">
        <v>46291</v>
      </c>
      <c r="F354" t="inlineStr">
        <is>
          <t>BLEKINGE LÄN</t>
        </is>
      </c>
      <c r="G354" t="inlineStr">
        <is>
          <t>RONNEBY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46291</v>
      </c>
      <c r="F355" t="inlineStr">
        <is>
          <t>BLEKINGE LÄN</t>
        </is>
      </c>
      <c r="G355" t="inlineStr">
        <is>
          <t>RONNEBY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46291</v>
      </c>
      <c r="F356" t="inlineStr">
        <is>
          <t>BLEKINGE LÄN</t>
        </is>
      </c>
      <c r="G356" t="inlineStr">
        <is>
          <t>RONNEBY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46291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46291</v>
      </c>
      <c r="F358" t="inlineStr">
        <is>
          <t>BLEKINGE LÄN</t>
        </is>
      </c>
      <c r="G358" t="inlineStr">
        <is>
          <t>RONNEBY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45168</v>
      </c>
      <c r="E359" s="1" t="n">
        <v>46291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45846</v>
      </c>
      <c r="E360" s="1" t="n">
        <v>46291</v>
      </c>
      <c r="F360" t="inlineStr">
        <is>
          <t>BLEKINGE LÄN</t>
        </is>
      </c>
      <c r="G360" t="inlineStr">
        <is>
          <t>RONNEBY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46291</v>
      </c>
      <c r="F361" t="inlineStr">
        <is>
          <t>BLEKINGE LÄN</t>
        </is>
      </c>
      <c r="G361" t="inlineStr">
        <is>
          <t>RONNEBY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46291</v>
      </c>
      <c r="F362" t="inlineStr">
        <is>
          <t>BLEKINGE LÄN</t>
        </is>
      </c>
      <c r="G362" t="inlineStr">
        <is>
          <t>RONNEBY</t>
        </is>
      </c>
      <c r="I362" t="n">
        <v>15.2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46291</v>
      </c>
      <c r="F363" t="inlineStr">
        <is>
          <t>BLEKINGE LÄN</t>
        </is>
      </c>
      <c r="G363" t="inlineStr">
        <is>
          <t>RONNEBY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34451-2023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45139</v>
      </c>
      <c r="E364" s="1" t="n">
        <v>46291</v>
      </c>
      <c r="F364" t="inlineStr">
        <is>
          <t>BLEKINGE LÄN</t>
        </is>
      </c>
      <c r="G364" t="inlineStr">
        <is>
          <t>RONNEBY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46291</v>
      </c>
      <c r="F365" t="inlineStr">
        <is>
          <t>BLEKINGE LÄN</t>
        </is>
      </c>
      <c r="G365" t="inlineStr">
        <is>
          <t>RONNEBY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45843</v>
      </c>
      <c r="E366" s="1" t="n">
        <v>46291</v>
      </c>
      <c r="F366" t="inlineStr">
        <is>
          <t>BLEKINGE LÄN</t>
        </is>
      </c>
      <c r="G366" t="inlineStr">
        <is>
          <t>RONNEBY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46291</v>
      </c>
      <c r="F367" t="inlineStr">
        <is>
          <t>BLEKINGE LÄN</t>
        </is>
      </c>
      <c r="G367" t="inlineStr">
        <is>
          <t>RONNEBY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46291</v>
      </c>
      <c r="F368" t="inlineStr">
        <is>
          <t>BLEKINGE LÄN</t>
        </is>
      </c>
      <c r="G368" t="inlineStr">
        <is>
          <t>RONNEBY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46291</v>
      </c>
      <c r="F369" t="inlineStr">
        <is>
          <t>BLEKINGE LÄN</t>
        </is>
      </c>
      <c r="G369" t="inlineStr">
        <is>
          <t>RONNEBY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46291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46291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45856</v>
      </c>
      <c r="E372" s="1" t="n">
        <v>46291</v>
      </c>
      <c r="F372" t="inlineStr">
        <is>
          <t>BLEKINGE LÄN</t>
        </is>
      </c>
      <c r="G372" t="inlineStr">
        <is>
          <t>RONNEBY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46291</v>
      </c>
      <c r="F373" t="inlineStr">
        <is>
          <t>BLEKINGE LÄN</t>
        </is>
      </c>
      <c r="G373" t="inlineStr">
        <is>
          <t>RONNEBY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46291</v>
      </c>
      <c r="F374" t="inlineStr">
        <is>
          <t>BLEKINGE LÄN</t>
        </is>
      </c>
      <c r="G374" t="inlineStr">
        <is>
          <t>RONNEBY</t>
        </is>
      </c>
      <c r="H374" t="inlineStr">
        <is>
          <t>Kommuner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46291</v>
      </c>
      <c r="F375" t="inlineStr">
        <is>
          <t>BLEKINGE LÄN</t>
        </is>
      </c>
      <c r="G375" t="inlineStr">
        <is>
          <t>RONNEBY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46291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46291</v>
      </c>
      <c r="F377" t="inlineStr">
        <is>
          <t>BLEKINGE LÄN</t>
        </is>
      </c>
      <c r="G377" t="inlineStr">
        <is>
          <t>RONNEBY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45078</v>
      </c>
      <c r="E378" s="1" t="n">
        <v>46291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45429</v>
      </c>
      <c r="E379" s="1" t="n">
        <v>46291</v>
      </c>
      <c r="F379" t="inlineStr">
        <is>
          <t>BLEKINGE LÄN</t>
        </is>
      </c>
      <c r="G379" t="inlineStr">
        <is>
          <t>RONNEBY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45152</v>
      </c>
      <c r="E380" s="1" t="n">
        <v>46291</v>
      </c>
      <c r="F380" t="inlineStr">
        <is>
          <t>BLEKINGE LÄN</t>
        </is>
      </c>
      <c r="G380" t="inlineStr">
        <is>
          <t>RONNEBY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46291</v>
      </c>
      <c r="F381" t="inlineStr">
        <is>
          <t>BLEKINGE LÄN</t>
        </is>
      </c>
      <c r="G381" t="inlineStr">
        <is>
          <t>RONNEBY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46291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59840-2021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46291</v>
      </c>
      <c r="F383" t="inlineStr">
        <is>
          <t>BLEKINGE LÄN</t>
        </is>
      </c>
      <c r="G383" t="inlineStr">
        <is>
          <t>RONNEBY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46291</v>
      </c>
      <c r="F384" t="inlineStr">
        <is>
          <t>BLEKINGE LÄN</t>
        </is>
      </c>
      <c r="G384" t="inlineStr">
        <is>
          <t>RONNEBY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46291</v>
      </c>
      <c r="F385" t="inlineStr">
        <is>
          <t>BLEKINGE LÄN</t>
        </is>
      </c>
      <c r="G385" t="inlineStr">
        <is>
          <t>RONNEBY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46291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46291</v>
      </c>
      <c r="F387" t="inlineStr">
        <is>
          <t>BLEKINGE LÄN</t>
        </is>
      </c>
      <c r="G387" t="inlineStr">
        <is>
          <t>RONNEBY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46291</v>
      </c>
      <c r="F388" t="inlineStr">
        <is>
          <t>BLEKINGE LÄN</t>
        </is>
      </c>
      <c r="G388" t="inlineStr">
        <is>
          <t>RONNEBY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46291</v>
      </c>
      <c r="F389" t="inlineStr">
        <is>
          <t>BLEKINGE LÄN</t>
        </is>
      </c>
      <c r="G389" t="inlineStr">
        <is>
          <t>RONNEBY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46291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45653</v>
      </c>
      <c r="E391" s="1" t="n">
        <v>46291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46291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45115</v>
      </c>
      <c r="E393" s="1" t="n">
        <v>46291</v>
      </c>
      <c r="F393" t="inlineStr">
        <is>
          <t>BLEKINGE LÄN</t>
        </is>
      </c>
      <c r="G393" t="inlineStr">
        <is>
          <t>RONNEBY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46291</v>
      </c>
      <c r="F394" t="inlineStr">
        <is>
          <t>BLEKINGE LÄN</t>
        </is>
      </c>
      <c r="G394" t="inlineStr">
        <is>
          <t>RONNEBY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46291</v>
      </c>
      <c r="F395" t="inlineStr">
        <is>
          <t>BLEKINGE LÄN</t>
        </is>
      </c>
      <c r="G395" t="inlineStr">
        <is>
          <t>RONNEBY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46291</v>
      </c>
      <c r="F396" t="inlineStr">
        <is>
          <t>BLEKINGE LÄN</t>
        </is>
      </c>
      <c r="G396" t="inlineStr">
        <is>
          <t>RONNEBY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46291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45670</v>
      </c>
      <c r="E398" s="1" t="n">
        <v>46291</v>
      </c>
      <c r="F398" t="inlineStr">
        <is>
          <t>BLEKINGE LÄN</t>
        </is>
      </c>
      <c r="G398" t="inlineStr">
        <is>
          <t>RONNEBY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46291</v>
      </c>
      <c r="F399" t="inlineStr">
        <is>
          <t>BLEKINGE LÄN</t>
        </is>
      </c>
      <c r="G399" t="inlineStr">
        <is>
          <t>RONNEBY</t>
        </is>
      </c>
      <c r="H399" t="inlineStr">
        <is>
          <t>Kommuner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45534</v>
      </c>
      <c r="E400" s="1" t="n">
        <v>46291</v>
      </c>
      <c r="F400" t="inlineStr">
        <is>
          <t>BLEKINGE LÄN</t>
        </is>
      </c>
      <c r="G400" t="inlineStr">
        <is>
          <t>RONNEBY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45118</v>
      </c>
      <c r="E401" s="1" t="n">
        <v>46291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45600</v>
      </c>
      <c r="E402" s="1" t="n">
        <v>46291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46291</v>
      </c>
      <c r="F403" t="inlineStr">
        <is>
          <t>BLEKINGE LÄN</t>
        </is>
      </c>
      <c r="G403" t="inlineStr">
        <is>
          <t>RONNEBY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46291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45921</v>
      </c>
      <c r="E405" s="1" t="n">
        <v>46291</v>
      </c>
      <c r="F405" t="inlineStr">
        <is>
          <t>BLEKINGE LÄN</t>
        </is>
      </c>
      <c r="G405" t="inlineStr">
        <is>
          <t>RONNEBY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28732-2026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46198</v>
      </c>
      <c r="E406" s="1" t="n">
        <v>46291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46291</v>
      </c>
      <c r="F407" t="inlineStr">
        <is>
          <t>BLEKINGE LÄN</t>
        </is>
      </c>
      <c r="G407" t="inlineStr">
        <is>
          <t>RONNEBY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46291</v>
      </c>
      <c r="F408" t="inlineStr">
        <is>
          <t>BLEKINGE LÄN</t>
        </is>
      </c>
      <c r="G408" t="inlineStr">
        <is>
          <t>RONNEBY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46291</v>
      </c>
      <c r="F409" t="inlineStr">
        <is>
          <t>BLEKINGE LÄN</t>
        </is>
      </c>
      <c r="G409" t="inlineStr">
        <is>
          <t>RONNEBY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46291</v>
      </c>
      <c r="F410" t="inlineStr">
        <is>
          <t>BLEKINGE LÄN</t>
        </is>
      </c>
      <c r="G410" t="inlineStr">
        <is>
          <t>RONNEBY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45715</v>
      </c>
      <c r="E411" s="1" t="n">
        <v>46291</v>
      </c>
      <c r="F411" t="inlineStr">
        <is>
          <t>BLEKINGE LÄN</t>
        </is>
      </c>
      <c r="G411" t="inlineStr">
        <is>
          <t>RONNEBY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46291</v>
      </c>
      <c r="F412" t="inlineStr">
        <is>
          <t>BLEKINGE LÄN</t>
        </is>
      </c>
      <c r="G412" t="inlineStr">
        <is>
          <t>RONNEBY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46291</v>
      </c>
      <c r="F413" t="inlineStr">
        <is>
          <t>BLEKINGE LÄN</t>
        </is>
      </c>
      <c r="G413" t="inlineStr">
        <is>
          <t>RONNEBY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46291</v>
      </c>
      <c r="F414" t="inlineStr">
        <is>
          <t>BLEKINGE LÄN</t>
        </is>
      </c>
      <c r="G414" t="inlineStr">
        <is>
          <t>RONNEBY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46291</v>
      </c>
      <c r="F415" t="inlineStr">
        <is>
          <t>BLEKINGE LÄN</t>
        </is>
      </c>
      <c r="G415" t="inlineStr">
        <is>
          <t>RONNEBY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46291</v>
      </c>
      <c r="F416" t="inlineStr">
        <is>
          <t>BLEKINGE LÄN</t>
        </is>
      </c>
      <c r="G416" t="inlineStr">
        <is>
          <t>RONNEBY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44606</v>
      </c>
      <c r="E417" s="1" t="n">
        <v>46291</v>
      </c>
      <c r="F417" t="inlineStr">
        <is>
          <t>BLEKINGE LÄN</t>
        </is>
      </c>
      <c r="G417" t="inlineStr">
        <is>
          <t>RONNEBY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44829</v>
      </c>
      <c r="E418" s="1" t="n">
        <v>46291</v>
      </c>
      <c r="F418" t="inlineStr">
        <is>
          <t>BLEKINGE LÄN</t>
        </is>
      </c>
      <c r="G418" t="inlineStr">
        <is>
          <t>RONNEBY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44762</v>
      </c>
      <c r="E419" s="1" t="n">
        <v>46291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44658</v>
      </c>
      <c r="E420" s="1" t="n">
        <v>46291</v>
      </c>
      <c r="F420" t="inlineStr">
        <is>
          <t>BLEKINGE LÄN</t>
        </is>
      </c>
      <c r="G420" t="inlineStr">
        <is>
          <t>RONNEBY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46291</v>
      </c>
      <c r="F421" t="inlineStr">
        <is>
          <t>BLEKINGE LÄN</t>
        </is>
      </c>
      <c r="G421" t="inlineStr">
        <is>
          <t>RONNEBY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44565</v>
      </c>
      <c r="E422" s="1" t="n">
        <v>46291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46291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46291</v>
      </c>
      <c r="F424" t="inlineStr">
        <is>
          <t>BLEKINGE LÄN</t>
        </is>
      </c>
      <c r="G424" t="inlineStr">
        <is>
          <t>RONNEBY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46291</v>
      </c>
      <c r="F425" t="inlineStr">
        <is>
          <t>BLEKINGE LÄN</t>
        </is>
      </c>
      <c r="G425" t="inlineStr">
        <is>
          <t>RONNEBY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46291</v>
      </c>
      <c r="F426" t="inlineStr">
        <is>
          <t>BLEKINGE LÄN</t>
        </is>
      </c>
      <c r="G426" t="inlineStr">
        <is>
          <t>RONNEBY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46291</v>
      </c>
      <c r="F427" t="inlineStr">
        <is>
          <t>BLEKINGE LÄN</t>
        </is>
      </c>
      <c r="G427" t="inlineStr">
        <is>
          <t>RONNEBY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44600</v>
      </c>
      <c r="E428" s="1" t="n">
        <v>46291</v>
      </c>
      <c r="F428" t="inlineStr">
        <is>
          <t>BLEKINGE LÄN</t>
        </is>
      </c>
      <c r="G428" t="inlineStr">
        <is>
          <t>RONNEBY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46291</v>
      </c>
      <c r="F429" t="inlineStr">
        <is>
          <t>BLEKINGE LÄN</t>
        </is>
      </c>
      <c r="G429" t="inlineStr">
        <is>
          <t>RONNEBY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46291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46291</v>
      </c>
      <c r="F431" t="inlineStr">
        <is>
          <t>BLEKINGE LÄN</t>
        </is>
      </c>
      <c r="G431" t="inlineStr">
        <is>
          <t>RONNEBY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46291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46291</v>
      </c>
      <c r="F433" t="inlineStr">
        <is>
          <t>BLEKINGE LÄN</t>
        </is>
      </c>
      <c r="G433" t="inlineStr">
        <is>
          <t>RONNEBY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46291</v>
      </c>
      <c r="F434" t="inlineStr">
        <is>
          <t>BLEKINGE LÄN</t>
        </is>
      </c>
      <c r="G434" t="inlineStr">
        <is>
          <t>RONNEBY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45428</v>
      </c>
      <c r="E435" s="1" t="n">
        <v>46291</v>
      </c>
      <c r="F435" t="inlineStr">
        <is>
          <t>BLEKINGE LÄN</t>
        </is>
      </c>
      <c r="G435" t="inlineStr">
        <is>
          <t>RONNEBY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46291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46212</v>
      </c>
      <c r="E437" s="1" t="n">
        <v>46291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46212</v>
      </c>
      <c r="E438" s="1" t="n">
        <v>46291</v>
      </c>
      <c r="F438" t="inlineStr">
        <is>
          <t>BLEKINGE LÄN</t>
        </is>
      </c>
      <c r="G438" t="inlineStr">
        <is>
          <t>RONNEBY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19610-2024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45432</v>
      </c>
      <c r="E439" s="1" t="n">
        <v>46291</v>
      </c>
      <c r="F439" t="inlineStr">
        <is>
          <t>BLEKINGE LÄN</t>
        </is>
      </c>
      <c r="G439" t="inlineStr">
        <is>
          <t>RONNEBY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44586</v>
      </c>
      <c r="E440" s="1" t="n">
        <v>46291</v>
      </c>
      <c r="F440" t="inlineStr">
        <is>
          <t>BLEKINGE LÄN</t>
        </is>
      </c>
      <c r="G440" t="inlineStr">
        <is>
          <t>RONNEBY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46291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44753</v>
      </c>
      <c r="E442" s="1" t="n">
        <v>46291</v>
      </c>
      <c r="F442" t="inlineStr">
        <is>
          <t>BLEKINGE LÄN</t>
        </is>
      </c>
      <c r="G442" t="inlineStr">
        <is>
          <t>RONNEBY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55079-2023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45237</v>
      </c>
      <c r="E443" s="1" t="n">
        <v>46291</v>
      </c>
      <c r="F443" t="inlineStr">
        <is>
          <t>BLEKINGE LÄN</t>
        </is>
      </c>
      <c r="G443" t="inlineStr">
        <is>
          <t>RONNEBY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25077-2022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44729</v>
      </c>
      <c r="E444" s="1" t="n">
        <v>46291</v>
      </c>
      <c r="F444" t="inlineStr">
        <is>
          <t>BLEKINGE LÄN</t>
        </is>
      </c>
      <c r="G444" t="inlineStr">
        <is>
          <t>RONNEBY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46259</v>
      </c>
      <c r="E445" s="1" t="n">
        <v>46291</v>
      </c>
      <c r="F445" t="inlineStr">
        <is>
          <t>BLEKINGE LÄN</t>
        </is>
      </c>
      <c r="G445" t="inlineStr">
        <is>
          <t>RONNEBY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46291</v>
      </c>
      <c r="F446" t="inlineStr">
        <is>
          <t>BLEKINGE LÄN</t>
        </is>
      </c>
      <c r="G446" t="inlineStr">
        <is>
          <t>RONNEBY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46291</v>
      </c>
      <c r="F447" t="inlineStr">
        <is>
          <t>BLEKINGE LÄN</t>
        </is>
      </c>
      <c r="G447" t="inlineStr">
        <is>
          <t>RONNEBY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45702</v>
      </c>
      <c r="E448" s="1" t="n">
        <v>46291</v>
      </c>
      <c r="F448" t="inlineStr">
        <is>
          <t>BLEKINGE LÄN</t>
        </is>
      </c>
      <c r="G448" t="inlineStr">
        <is>
          <t>RONNEBY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46914-2023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45201</v>
      </c>
      <c r="E449" s="1" t="n">
        <v>46291</v>
      </c>
      <c r="F449" t="inlineStr">
        <is>
          <t>BLEKINGE LÄN</t>
        </is>
      </c>
      <c r="G449" t="inlineStr">
        <is>
          <t>RONNEBY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46291</v>
      </c>
      <c r="F450" t="inlineStr">
        <is>
          <t>BLEKINGE LÄN</t>
        </is>
      </c>
      <c r="G450" t="inlineStr">
        <is>
          <t>RONNEBY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46291</v>
      </c>
      <c r="F451" t="inlineStr">
        <is>
          <t>BLEKINGE LÄN</t>
        </is>
      </c>
      <c r="G451" t="inlineStr">
        <is>
          <t>RONNEBY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46218</v>
      </c>
      <c r="E452" s="1" t="n">
        <v>46291</v>
      </c>
      <c r="F452" t="inlineStr">
        <is>
          <t>BLEKINGE LÄN</t>
        </is>
      </c>
      <c r="G452" t="inlineStr">
        <is>
          <t>RONNEBY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45724</v>
      </c>
      <c r="E453" s="1" t="n">
        <v>46291</v>
      </c>
      <c r="F453" t="inlineStr">
        <is>
          <t>BLEKINGE LÄN</t>
        </is>
      </c>
      <c r="G453" t="inlineStr">
        <is>
          <t>RONNEBY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46291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46291</v>
      </c>
      <c r="F455" t="inlineStr">
        <is>
          <t>BLEKINGE LÄN</t>
        </is>
      </c>
      <c r="G455" t="inlineStr">
        <is>
          <t>RONNEBY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44819</v>
      </c>
      <c r="E456" s="1" t="n">
        <v>46291</v>
      </c>
      <c r="F456" t="inlineStr">
        <is>
          <t>BLEKINGE LÄN</t>
        </is>
      </c>
      <c r="G456" t="inlineStr">
        <is>
          <t>RONNEBY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46291</v>
      </c>
      <c r="F457" t="inlineStr">
        <is>
          <t>BLEKINGE LÄN</t>
        </is>
      </c>
      <c r="G457" t="inlineStr">
        <is>
          <t>RONNEBY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46291</v>
      </c>
      <c r="F458" t="inlineStr">
        <is>
          <t>BLEKINGE LÄN</t>
        </is>
      </c>
      <c r="G458" t="inlineStr">
        <is>
          <t>RONNEBY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46291</v>
      </c>
      <c r="F459" t="inlineStr">
        <is>
          <t>BLEKINGE LÄN</t>
        </is>
      </c>
      <c r="G459" t="inlineStr">
        <is>
          <t>RONNEBY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54536-2022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44882</v>
      </c>
      <c r="E460" s="1" t="n">
        <v>46291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46291</v>
      </c>
      <c r="F461" t="inlineStr">
        <is>
          <t>BLEKINGE LÄN</t>
        </is>
      </c>
      <c r="G461" t="inlineStr">
        <is>
          <t>RONNEBY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45299</v>
      </c>
      <c r="E462" s="1" t="n">
        <v>46291</v>
      </c>
      <c r="F462" t="inlineStr">
        <is>
          <t>BLEKINGE LÄN</t>
        </is>
      </c>
      <c r="G462" t="inlineStr">
        <is>
          <t>RONNEBY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46291</v>
      </c>
      <c r="F463" t="inlineStr">
        <is>
          <t>BLEKINGE LÄN</t>
        </is>
      </c>
      <c r="G463" t="inlineStr">
        <is>
          <t>RONNEBY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46291</v>
      </c>
      <c r="F464" t="inlineStr">
        <is>
          <t>BLEKINGE LÄN</t>
        </is>
      </c>
      <c r="G464" t="inlineStr">
        <is>
          <t>RONNEBY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46291</v>
      </c>
      <c r="F465" t="inlineStr">
        <is>
          <t>BLEKINGE LÄN</t>
        </is>
      </c>
      <c r="G465" t="inlineStr">
        <is>
          <t>RONNEBY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46291</v>
      </c>
      <c r="F466" t="inlineStr">
        <is>
          <t>BLEKINGE LÄN</t>
        </is>
      </c>
      <c r="G466" t="inlineStr">
        <is>
          <t>RONNEBY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46291</v>
      </c>
      <c r="F467" t="inlineStr">
        <is>
          <t>BLEKINGE LÄN</t>
        </is>
      </c>
      <c r="G467" t="inlineStr">
        <is>
          <t>RONNEBY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36218-2026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46291</v>
      </c>
      <c r="F468" t="inlineStr">
        <is>
          <t>BLEKINGE LÄN</t>
        </is>
      </c>
      <c r="G468" t="inlineStr">
        <is>
          <t>RONNEBY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46291</v>
      </c>
      <c r="F469" t="inlineStr">
        <is>
          <t>BLEKINGE LÄN</t>
        </is>
      </c>
      <c r="G469" t="inlineStr">
        <is>
          <t>RONNEBY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46291</v>
      </c>
      <c r="F470" t="inlineStr">
        <is>
          <t>BLEKINGE LÄN</t>
        </is>
      </c>
      <c r="G470" t="inlineStr">
        <is>
          <t>RONNEBY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46291</v>
      </c>
      <c r="F471" t="inlineStr">
        <is>
          <t>BLEKINGE LÄN</t>
        </is>
      </c>
      <c r="G471" t="inlineStr">
        <is>
          <t>RONNEBY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45302</v>
      </c>
      <c r="E472" s="1" t="n">
        <v>46291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46229</v>
      </c>
      <c r="E473" s="1" t="n">
        <v>46291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46291</v>
      </c>
      <c r="F474" t="inlineStr">
        <is>
          <t>BLEKINGE LÄN</t>
        </is>
      </c>
      <c r="G474" t="inlineStr">
        <is>
          <t>RONNEBY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46291</v>
      </c>
      <c r="F475" t="inlineStr">
        <is>
          <t>BLEKINGE LÄN</t>
        </is>
      </c>
      <c r="G475" t="inlineStr">
        <is>
          <t>RONNEBY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46291</v>
      </c>
      <c r="F476" t="inlineStr">
        <is>
          <t>BLEKINGE LÄN</t>
        </is>
      </c>
      <c r="G476" t="inlineStr">
        <is>
          <t>RONNEBY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46291</v>
      </c>
      <c r="F477" t="inlineStr">
        <is>
          <t>BLEKINGE LÄN</t>
        </is>
      </c>
      <c r="G477" t="inlineStr">
        <is>
          <t>RONNEBY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46291</v>
      </c>
      <c r="F478" t="inlineStr">
        <is>
          <t>BLEKINGE LÄN</t>
        </is>
      </c>
      <c r="G478" t="inlineStr">
        <is>
          <t>RONNEBY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45503</v>
      </c>
      <c r="E479" s="1" t="n">
        <v>46291</v>
      </c>
      <c r="F479" t="inlineStr">
        <is>
          <t>BLEKINGE LÄN</t>
        </is>
      </c>
      <c r="G479" t="inlineStr">
        <is>
          <t>RONNEBY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44987</v>
      </c>
      <c r="E480" s="1" t="n">
        <v>46291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46291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46291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45071</v>
      </c>
      <c r="E483" s="1" t="n">
        <v>46291</v>
      </c>
      <c r="F483" t="inlineStr">
        <is>
          <t>BLEKINGE LÄN</t>
        </is>
      </c>
      <c r="G483" t="inlineStr">
        <is>
          <t>RONNEBY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45597</v>
      </c>
      <c r="E484" s="1" t="n">
        <v>46291</v>
      </c>
      <c r="F484" t="inlineStr">
        <is>
          <t>BLEKINGE LÄN</t>
        </is>
      </c>
      <c r="G484" t="inlineStr">
        <is>
          <t>RONNEBY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46291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45128</v>
      </c>
      <c r="E486" s="1" t="n">
        <v>46291</v>
      </c>
      <c r="F486" t="inlineStr">
        <is>
          <t>BLEKINGE LÄN</t>
        </is>
      </c>
      <c r="G486" t="inlineStr">
        <is>
          <t>RONNEBY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46291</v>
      </c>
      <c r="F487" t="inlineStr">
        <is>
          <t>BLEKINGE LÄN</t>
        </is>
      </c>
      <c r="G487" t="inlineStr">
        <is>
          <t>RONNEBY</t>
        </is>
      </c>
      <c r="H487" t="inlineStr">
        <is>
          <t>Övriga Aktiebolag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46291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46542-2022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44848</v>
      </c>
      <c r="E489" s="1" t="n">
        <v>46291</v>
      </c>
      <c r="F489" t="inlineStr">
        <is>
          <t>BLEKINGE LÄN</t>
        </is>
      </c>
      <c r="G489" t="inlineStr">
        <is>
          <t>RONNEBY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45432</v>
      </c>
      <c r="E490" s="1" t="n">
        <v>46291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4902-2023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44956</v>
      </c>
      <c r="E491" s="1" t="n">
        <v>46291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46291</v>
      </c>
      <c r="F492" t="inlineStr">
        <is>
          <t>BLEKINGE LÄN</t>
        </is>
      </c>
      <c r="G492" t="inlineStr">
        <is>
          <t>RONNEBY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46291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44987</v>
      </c>
      <c r="E494" s="1" t="n">
        <v>46291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46291</v>
      </c>
      <c r="F495" t="inlineStr">
        <is>
          <t>BLEKINGE LÄN</t>
        </is>
      </c>
      <c r="G495" t="inlineStr">
        <is>
          <t>RONNEBY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45360</v>
      </c>
      <c r="E496" s="1" t="n">
        <v>46291</v>
      </c>
      <c r="F496" t="inlineStr">
        <is>
          <t>BLEKINGE LÄN</t>
        </is>
      </c>
      <c r="G496" t="inlineStr">
        <is>
          <t>RONNEBY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52614-2023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46291</v>
      </c>
      <c r="F497" t="inlineStr">
        <is>
          <t>BLEKINGE LÄN</t>
        </is>
      </c>
      <c r="G497" t="inlineStr">
        <is>
          <t>RONNEBY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45327</v>
      </c>
      <c r="E498" s="1" t="n">
        <v>46291</v>
      </c>
      <c r="F498" t="inlineStr">
        <is>
          <t>BLEKINGE LÄN</t>
        </is>
      </c>
      <c r="G498" t="inlineStr">
        <is>
          <t>RONNEBY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45354</v>
      </c>
      <c r="E499" s="1" t="n">
        <v>46291</v>
      </c>
      <c r="F499" t="inlineStr">
        <is>
          <t>BLEKINGE LÄN</t>
        </is>
      </c>
      <c r="G499" t="inlineStr">
        <is>
          <t>RONNEBY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45027</v>
      </c>
      <c r="E500" s="1" t="n">
        <v>46291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46291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64459-2023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46291</v>
      </c>
      <c r="F502" t="inlineStr">
        <is>
          <t>BLEKINGE LÄN</t>
        </is>
      </c>
      <c r="G502" t="inlineStr">
        <is>
          <t>RONNEBY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44917</v>
      </c>
      <c r="E503" s="1" t="n">
        <v>46291</v>
      </c>
      <c r="F503" t="inlineStr">
        <is>
          <t>BLEKINGE LÄN</t>
        </is>
      </c>
      <c r="G503" t="inlineStr">
        <is>
          <t>RONNEBY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45166</v>
      </c>
      <c r="E504" s="1" t="n">
        <v>46291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44651</v>
      </c>
      <c r="E505" s="1" t="n">
        <v>46291</v>
      </c>
      <c r="F505" t="inlineStr">
        <is>
          <t>BLEKINGE LÄN</t>
        </is>
      </c>
      <c r="G505" t="inlineStr">
        <is>
          <t>RONNEBY</t>
        </is>
      </c>
      <c r="I505" t="n">
        <v>8.300000000000001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44966</v>
      </c>
      <c r="E506" s="1" t="n">
        <v>46291</v>
      </c>
      <c r="F506" t="inlineStr">
        <is>
          <t>BLEKINGE LÄN</t>
        </is>
      </c>
      <c r="G506" t="inlineStr">
        <is>
          <t>RONNEBY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45001</v>
      </c>
      <c r="E507" s="1" t="n">
        <v>46291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46291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46291</v>
      </c>
      <c r="F509" t="inlineStr">
        <is>
          <t>BLEKINGE LÄN</t>
        </is>
      </c>
      <c r="G509" t="inlineStr">
        <is>
          <t>RONNEBY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46291</v>
      </c>
      <c r="F510" t="inlineStr">
        <is>
          <t>BLEKINGE LÄN</t>
        </is>
      </c>
      <c r="G510" t="inlineStr">
        <is>
          <t>RONNEBY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46291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45006</v>
      </c>
      <c r="E512" s="1" t="n">
        <v>46291</v>
      </c>
      <c r="F512" t="inlineStr">
        <is>
          <t>BLEKINGE LÄN</t>
        </is>
      </c>
      <c r="G512" t="inlineStr">
        <is>
          <t>RONNEBY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46291</v>
      </c>
      <c r="F513" t="inlineStr">
        <is>
          <t>BLEKINGE LÄN</t>
        </is>
      </c>
      <c r="G513" t="inlineStr">
        <is>
          <t>RONNEBY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46884-2023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45201</v>
      </c>
      <c r="E514" s="1" t="n">
        <v>46291</v>
      </c>
      <c r="F514" t="inlineStr">
        <is>
          <t>BLEKINGE LÄN</t>
        </is>
      </c>
      <c r="G514" t="inlineStr">
        <is>
          <t>RONNEBY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45195</v>
      </c>
      <c r="E515" s="1" t="n">
        <v>46291</v>
      </c>
      <c r="F515" t="inlineStr">
        <is>
          <t>BLEKINGE LÄN</t>
        </is>
      </c>
      <c r="G515" t="inlineStr">
        <is>
          <t>RONNEBY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15622-2024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45402</v>
      </c>
      <c r="E516" s="1" t="n">
        <v>46291</v>
      </c>
      <c r="F516" t="inlineStr">
        <is>
          <t>BLEKINGE LÄN</t>
        </is>
      </c>
      <c r="G516" t="inlineStr">
        <is>
          <t>RONNEBY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34457-2023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45139</v>
      </c>
      <c r="E517" s="1" t="n">
        <v>46291</v>
      </c>
      <c r="F517" t="inlineStr">
        <is>
          <t>BLEKINGE LÄN</t>
        </is>
      </c>
      <c r="G517" t="inlineStr">
        <is>
          <t>RONNEBY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46291</v>
      </c>
      <c r="F518" t="inlineStr">
        <is>
          <t>BLEKINGE LÄN</t>
        </is>
      </c>
      <c r="G518" t="inlineStr">
        <is>
          <t>RONNEBY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46291</v>
      </c>
      <c r="F519" t="inlineStr">
        <is>
          <t>BLEKINGE LÄN</t>
        </is>
      </c>
      <c r="G519" t="inlineStr">
        <is>
          <t>RONNEBY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44617</v>
      </c>
      <c r="E520" s="1" t="n">
        <v>46291</v>
      </c>
      <c r="F520" t="inlineStr">
        <is>
          <t>BLEKINGE LÄN</t>
        </is>
      </c>
      <c r="G520" t="inlineStr">
        <is>
          <t>RONNEBY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44987</v>
      </c>
      <c r="E521" s="1" t="n">
        <v>46291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46291</v>
      </c>
      <c r="F522" t="inlineStr">
        <is>
          <t>BLEKINGE LÄN</t>
        </is>
      </c>
      <c r="G522" t="inlineStr">
        <is>
          <t>RONNEBY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46077</v>
      </c>
      <c r="E523" s="1" t="n">
        <v>46291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46291</v>
      </c>
      <c r="F524" t="inlineStr">
        <is>
          <t>BLEKINGE LÄN</t>
        </is>
      </c>
      <c r="G524" t="inlineStr">
        <is>
          <t>RONNEBY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45272</v>
      </c>
      <c r="E525" s="1" t="n">
        <v>46291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45062</v>
      </c>
      <c r="E526" s="1" t="n">
        <v>46291</v>
      </c>
      <c r="F526" t="inlineStr">
        <is>
          <t>BLEKINGE LÄN</t>
        </is>
      </c>
      <c r="G526" t="inlineStr">
        <is>
          <t>RONNEBY</t>
        </is>
      </c>
      <c r="H526" t="inlineStr">
        <is>
          <t>Kommuner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46291</v>
      </c>
      <c r="F527" t="inlineStr">
        <is>
          <t>BLEKINGE LÄN</t>
        </is>
      </c>
      <c r="G527" t="inlineStr">
        <is>
          <t>RONNEBY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46291</v>
      </c>
      <c r="F528" t="inlineStr">
        <is>
          <t>BLEKINGE LÄN</t>
        </is>
      </c>
      <c r="G528" t="inlineStr">
        <is>
          <t>RONNEBY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46291</v>
      </c>
      <c r="F529" t="inlineStr">
        <is>
          <t>BLEKINGE LÄN</t>
        </is>
      </c>
      <c r="G529" t="inlineStr">
        <is>
          <t>RONNEBY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46247</v>
      </c>
      <c r="E530" s="1" t="n">
        <v>46291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9870-2024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45363</v>
      </c>
      <c r="E531" s="1" t="n">
        <v>46291</v>
      </c>
      <c r="F531" t="inlineStr">
        <is>
          <t>BLEKINGE LÄN</t>
        </is>
      </c>
      <c r="G531" t="inlineStr">
        <is>
          <t>RONNEBY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45006</v>
      </c>
      <c r="E532" s="1" t="n">
        <v>46291</v>
      </c>
      <c r="F532" t="inlineStr">
        <is>
          <t>BLEKINGE LÄN</t>
        </is>
      </c>
      <c r="G532" t="inlineStr">
        <is>
          <t>RONNEBY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45082</v>
      </c>
      <c r="E533" s="1" t="n">
        <v>46291</v>
      </c>
      <c r="F533" t="inlineStr">
        <is>
          <t>BLEKINGE LÄN</t>
        </is>
      </c>
      <c r="G533" t="inlineStr">
        <is>
          <t>RONNEBY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46291</v>
      </c>
      <c r="F534" t="inlineStr">
        <is>
          <t>BLEKINGE LÄN</t>
        </is>
      </c>
      <c r="G534" t="inlineStr">
        <is>
          <t>RONNEBY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46291</v>
      </c>
      <c r="F535" t="inlineStr">
        <is>
          <t>BLEKINGE LÄN</t>
        </is>
      </c>
      <c r="G535" t="inlineStr">
        <is>
          <t>RONNEBY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46291</v>
      </c>
      <c r="F536" t="inlineStr">
        <is>
          <t>BLEKINGE LÄN</t>
        </is>
      </c>
      <c r="G536" t="inlineStr">
        <is>
          <t>RONNEBY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45057</v>
      </c>
      <c r="E537" s="1" t="n">
        <v>46291</v>
      </c>
      <c r="F537" t="inlineStr">
        <is>
          <t>BLEKINGE LÄN</t>
        </is>
      </c>
      <c r="G537" t="inlineStr">
        <is>
          <t>RONNEBY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21442-2023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45063</v>
      </c>
      <c r="E538" s="1" t="n">
        <v>46291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28975-2023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45104</v>
      </c>
      <c r="E539" s="1" t="n">
        <v>46291</v>
      </c>
      <c r="F539" t="inlineStr">
        <is>
          <t>BLEKINGE LÄN</t>
        </is>
      </c>
      <c r="G539" t="inlineStr">
        <is>
          <t>RONNEBY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46291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45105</v>
      </c>
      <c r="E541" s="1" t="n">
        <v>46291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45001</v>
      </c>
      <c r="E542" s="1" t="n">
        <v>46291</v>
      </c>
      <c r="F542" t="inlineStr">
        <is>
          <t>BLEKINGE LÄN</t>
        </is>
      </c>
      <c r="G542" t="inlineStr">
        <is>
          <t>RONNEBY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8330-2023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46291</v>
      </c>
      <c r="F543" t="inlineStr">
        <is>
          <t>BLEKINGE LÄN</t>
        </is>
      </c>
      <c r="G543" t="inlineStr">
        <is>
          <t>RONNEBY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45602</v>
      </c>
      <c r="E544" s="1" t="n">
        <v>46291</v>
      </c>
      <c r="F544" t="inlineStr">
        <is>
          <t>BLEKINGE LÄN</t>
        </is>
      </c>
      <c r="G544" t="inlineStr">
        <is>
          <t>RONNEBY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23888-2022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44722</v>
      </c>
      <c r="E545" s="1" t="n">
        <v>46291</v>
      </c>
      <c r="F545" t="inlineStr">
        <is>
          <t>BLEKINGE LÄN</t>
        </is>
      </c>
      <c r="G545" t="inlineStr">
        <is>
          <t>RONNEBY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46291</v>
      </c>
      <c r="F546" t="inlineStr">
        <is>
          <t>BLEKINGE LÄN</t>
        </is>
      </c>
      <c r="G546" t="inlineStr">
        <is>
          <t>RONNEBY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46291</v>
      </c>
      <c r="F547" t="inlineStr">
        <is>
          <t>BLEKINGE LÄN</t>
        </is>
      </c>
      <c r="G547" t="inlineStr">
        <is>
          <t>RONNEBY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11560-2024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46291</v>
      </c>
      <c r="F548" t="inlineStr">
        <is>
          <t>BLEKINGE LÄN</t>
        </is>
      </c>
      <c r="G548" t="inlineStr">
        <is>
          <t>RONNEBY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9493-2024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45359</v>
      </c>
      <c r="E549" s="1" t="n">
        <v>46291</v>
      </c>
      <c r="F549" t="inlineStr">
        <is>
          <t>BLEKINGE LÄN</t>
        </is>
      </c>
      <c r="G549" t="inlineStr">
        <is>
          <t>RONNEBY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45360</v>
      </c>
      <c r="E550" s="1" t="n">
        <v>46291</v>
      </c>
      <c r="F550" t="inlineStr">
        <is>
          <t>BLEKINGE LÄN</t>
        </is>
      </c>
      <c r="G550" t="inlineStr">
        <is>
          <t>RONNEBY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44754</v>
      </c>
      <c r="E551" s="1" t="n">
        <v>46291</v>
      </c>
      <c r="F551" t="inlineStr">
        <is>
          <t>BLEKINGE LÄN</t>
        </is>
      </c>
      <c r="G551" t="inlineStr">
        <is>
          <t>RONNEBY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46291</v>
      </c>
      <c r="F552" t="inlineStr">
        <is>
          <t>BLEKINGE LÄN</t>
        </is>
      </c>
      <c r="G552" t="inlineStr">
        <is>
          <t>RONNEBY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45053</v>
      </c>
      <c r="E553" s="1" t="n">
        <v>46291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45097</v>
      </c>
      <c r="E554" s="1" t="n">
        <v>46291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25287-2024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46291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44956</v>
      </c>
      <c r="E556" s="1" t="n">
        <v>46291</v>
      </c>
      <c r="F556" t="inlineStr">
        <is>
          <t>BLEKINGE LÄN</t>
        </is>
      </c>
      <c r="G556" t="inlineStr">
        <is>
          <t>RONNEBY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46291</v>
      </c>
      <c r="F557" t="inlineStr">
        <is>
          <t>BLEKINGE LÄN</t>
        </is>
      </c>
      <c r="G557" t="inlineStr">
        <is>
          <t>RONNEBY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46291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45402</v>
      </c>
      <c r="E559" s="1" t="n">
        <v>46291</v>
      </c>
      <c r="F559" t="inlineStr">
        <is>
          <t>BLEKINGE LÄN</t>
        </is>
      </c>
      <c r="G559" t="inlineStr">
        <is>
          <t>RONNEBY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46291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46291</v>
      </c>
      <c r="F561" t="inlineStr">
        <is>
          <t>BLEKINGE LÄN</t>
        </is>
      </c>
      <c r="G561" t="inlineStr">
        <is>
          <t>RONNEBY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46291</v>
      </c>
      <c r="F562" t="inlineStr">
        <is>
          <t>BLEKINGE LÄN</t>
        </is>
      </c>
      <c r="G562" t="inlineStr">
        <is>
          <t>RONNEBY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32162-2022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44756</v>
      </c>
      <c r="E563" s="1" t="n">
        <v>46291</v>
      </c>
      <c r="F563" t="inlineStr">
        <is>
          <t>BLEKINGE LÄN</t>
        </is>
      </c>
      <c r="G563" t="inlineStr">
        <is>
          <t>RONNEBY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46291</v>
      </c>
      <c r="F564" t="inlineStr">
        <is>
          <t>BLEKINGE LÄN</t>
        </is>
      </c>
      <c r="G564" t="inlineStr">
        <is>
          <t>RONNEBY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45337</v>
      </c>
      <c r="E565" s="1" t="n">
        <v>46291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45360</v>
      </c>
      <c r="E566" s="1" t="n">
        <v>46291</v>
      </c>
      <c r="F566" t="inlineStr">
        <is>
          <t>BLEKINGE LÄN</t>
        </is>
      </c>
      <c r="G566" t="inlineStr">
        <is>
          <t>RONNEBY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45714</v>
      </c>
      <c r="E567" s="1" t="n">
        <v>46291</v>
      </c>
      <c r="F567" t="inlineStr">
        <is>
          <t>BLEKINGE LÄN</t>
        </is>
      </c>
      <c r="G567" t="inlineStr">
        <is>
          <t>RONNEBY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12767-2023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45001</v>
      </c>
      <c r="E568" s="1" t="n">
        <v>46291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8003-2024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45350</v>
      </c>
      <c r="E569" s="1" t="n">
        <v>46291</v>
      </c>
      <c r="F569" t="inlineStr">
        <is>
          <t>BLEKINGE LÄN</t>
        </is>
      </c>
      <c r="G569" t="inlineStr">
        <is>
          <t>RONNEBY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45350</v>
      </c>
      <c r="E570" s="1" t="n">
        <v>46291</v>
      </c>
      <c r="F570" t="inlineStr">
        <is>
          <t>BLEKINGE LÄN</t>
        </is>
      </c>
      <c r="G570" t="inlineStr">
        <is>
          <t>RONNEBY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46291</v>
      </c>
      <c r="F571" t="inlineStr">
        <is>
          <t>BLEKINGE LÄN</t>
        </is>
      </c>
      <c r="G571" t="inlineStr">
        <is>
          <t>RONNEBY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31415-2022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44774</v>
      </c>
      <c r="E572" s="1" t="n">
        <v>46291</v>
      </c>
      <c r="F572" t="inlineStr">
        <is>
          <t>BLEKINGE LÄN</t>
        </is>
      </c>
      <c r="G572" t="inlineStr">
        <is>
          <t>RONNEBY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41217-2023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46291</v>
      </c>
      <c r="F573" t="inlineStr">
        <is>
          <t>BLEKINGE LÄN</t>
        </is>
      </c>
      <c r="G573" t="inlineStr">
        <is>
          <t>RONNEBY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45714</v>
      </c>
      <c r="E574" s="1" t="n">
        <v>46291</v>
      </c>
      <c r="F574" t="inlineStr">
        <is>
          <t>BLEKINGE LÄN</t>
        </is>
      </c>
      <c r="G574" t="inlineStr">
        <is>
          <t>RONNEBY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57771-2024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46291</v>
      </c>
      <c r="F575" t="inlineStr">
        <is>
          <t>BLEKINGE LÄN</t>
        </is>
      </c>
      <c r="G575" t="inlineStr">
        <is>
          <t>RONNEBY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57773-2024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46291</v>
      </c>
      <c r="F576" t="inlineStr">
        <is>
          <t>BLEKINGE LÄN</t>
        </is>
      </c>
      <c r="G576" t="inlineStr">
        <is>
          <t>RONNEBY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46291</v>
      </c>
      <c r="F577" t="inlineStr">
        <is>
          <t>BLEKINGE LÄN</t>
        </is>
      </c>
      <c r="G577" t="inlineStr">
        <is>
          <t>RONNEBY</t>
        </is>
      </c>
      <c r="H577" t="inlineStr">
        <is>
          <t>Kommuner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59676-2022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46291</v>
      </c>
      <c r="F578" t="inlineStr">
        <is>
          <t>BLEKINGE LÄN</t>
        </is>
      </c>
      <c r="G578" t="inlineStr">
        <is>
          <t>RONNEBY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45430</v>
      </c>
      <c r="E579" s="1" t="n">
        <v>46291</v>
      </c>
      <c r="F579" t="inlineStr">
        <is>
          <t>BLEKINGE LÄN</t>
        </is>
      </c>
      <c r="G579" t="inlineStr">
        <is>
          <t>RONNEBY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16684-2024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46291</v>
      </c>
      <c r="F580" t="inlineStr">
        <is>
          <t>BLEKINGE LÄN</t>
        </is>
      </c>
      <c r="G580" t="inlineStr">
        <is>
          <t>RONNEBY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52817-2024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46291</v>
      </c>
      <c r="F581" t="inlineStr">
        <is>
          <t>BLEKINGE LÄN</t>
        </is>
      </c>
      <c r="G581" t="inlineStr">
        <is>
          <t>RONNEBY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44973</v>
      </c>
      <c r="E582" s="1" t="n">
        <v>46291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9.199999999999999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46291</v>
      </c>
      <c r="F583" t="inlineStr">
        <is>
          <t>BLEKINGE LÄN</t>
        </is>
      </c>
      <c r="G583" t="inlineStr">
        <is>
          <t>RONNEBY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15264-2023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46291</v>
      </c>
      <c r="F584" t="inlineStr">
        <is>
          <t>BLEKINGE LÄN</t>
        </is>
      </c>
      <c r="G584" t="inlineStr">
        <is>
          <t>RONNEBY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45036</v>
      </c>
      <c r="E585" s="1" t="n">
        <v>46291</v>
      </c>
      <c r="F585" t="inlineStr">
        <is>
          <t>BLEKINGE LÄN</t>
        </is>
      </c>
      <c r="G585" t="inlineStr">
        <is>
          <t>RONNEBY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45119</v>
      </c>
      <c r="E586" s="1" t="n">
        <v>46291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46291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46291</v>
      </c>
      <c r="F588" t="inlineStr">
        <is>
          <t>BLEKINGE LÄN</t>
        </is>
      </c>
      <c r="G588" t="inlineStr">
        <is>
          <t>RONNEBY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45040</v>
      </c>
      <c r="E589" s="1" t="n">
        <v>46291</v>
      </c>
      <c r="F589" t="inlineStr">
        <is>
          <t>BLEKINGE LÄN</t>
        </is>
      </c>
      <c r="G589" t="inlineStr">
        <is>
          <t>RONNEBY</t>
        </is>
      </c>
      <c r="I589" t="n">
        <v>11.5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46291</v>
      </c>
      <c r="F590" t="inlineStr">
        <is>
          <t>BLEKINGE LÄN</t>
        </is>
      </c>
      <c r="G590" t="inlineStr">
        <is>
          <t>RONNEBY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46291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45685</v>
      </c>
      <c r="E592" s="1" t="n">
        <v>46291</v>
      </c>
      <c r="F592" t="inlineStr">
        <is>
          <t>BLEKINGE LÄN</t>
        </is>
      </c>
      <c r="G592" t="inlineStr">
        <is>
          <t>RONNEBY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45357</v>
      </c>
      <c r="E593" s="1" t="n">
        <v>46291</v>
      </c>
      <c r="F593" t="inlineStr">
        <is>
          <t>BLEKINGE LÄN</t>
        </is>
      </c>
      <c r="G593" t="inlineStr">
        <is>
          <t>RONNEBY</t>
        </is>
      </c>
      <c r="H593" t="inlineStr">
        <is>
          <t>Kommuner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7716-2023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44972</v>
      </c>
      <c r="E594" s="1" t="n">
        <v>46291</v>
      </c>
      <c r="F594" t="inlineStr">
        <is>
          <t>BLEKINGE LÄN</t>
        </is>
      </c>
      <c r="G594" t="inlineStr">
        <is>
          <t>RONNEBY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41421-2024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46291</v>
      </c>
      <c r="F595" t="inlineStr">
        <is>
          <t>BLEKINGE LÄN</t>
        </is>
      </c>
      <c r="G595" t="inlineStr">
        <is>
          <t>RONNEBY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46291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46291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46291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45574</v>
      </c>
      <c r="E599" s="1" t="n">
        <v>46291</v>
      </c>
      <c r="F599" t="inlineStr">
        <is>
          <t>BLEKINGE LÄN</t>
        </is>
      </c>
      <c r="G599" t="inlineStr">
        <is>
          <t>RONNEBY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29077-2023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45104</v>
      </c>
      <c r="E600" s="1" t="n">
        <v>46291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45691</v>
      </c>
      <c r="E601" s="1" t="n">
        <v>46291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46291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45502</v>
      </c>
      <c r="E603" s="1" t="n">
        <v>46291</v>
      </c>
      <c r="F603" t="inlineStr">
        <is>
          <t>BLEKINGE LÄN</t>
        </is>
      </c>
      <c r="G603" t="inlineStr">
        <is>
          <t>RONNEBY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44966</v>
      </c>
      <c r="E604" s="1" t="n">
        <v>46291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46291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46291</v>
      </c>
      <c r="F606" t="inlineStr">
        <is>
          <t>BLEKINGE LÄN</t>
        </is>
      </c>
      <c r="G606" t="inlineStr">
        <is>
          <t>RONNEBY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46291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45724</v>
      </c>
      <c r="E608" s="1" t="n">
        <v>46291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45551</v>
      </c>
      <c r="E609" s="1" t="n">
        <v>46291</v>
      </c>
      <c r="F609" t="inlineStr">
        <is>
          <t>BLEKINGE LÄN</t>
        </is>
      </c>
      <c r="G609" t="inlineStr">
        <is>
          <t>RONNEBY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46291</v>
      </c>
      <c r="F610" t="inlineStr">
        <is>
          <t>BLEKINGE LÄN</t>
        </is>
      </c>
      <c r="G610" t="inlineStr">
        <is>
          <t>RONNEBY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46291</v>
      </c>
      <c r="F611" t="inlineStr">
        <is>
          <t>BLEKINGE LÄN</t>
        </is>
      </c>
      <c r="G611" t="inlineStr">
        <is>
          <t>RONNEBY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46291</v>
      </c>
      <c r="F612" t="inlineStr">
        <is>
          <t>BLEKINGE LÄN</t>
        </is>
      </c>
      <c r="G612" t="inlineStr">
        <is>
          <t>RONNEBY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46291</v>
      </c>
      <c r="F613" t="inlineStr">
        <is>
          <t>BLEKINGE LÄN</t>
        </is>
      </c>
      <c r="G613" t="inlineStr">
        <is>
          <t>RONNEBY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46291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64469-2023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45280</v>
      </c>
      <c r="E615" s="1" t="n">
        <v>46291</v>
      </c>
      <c r="F615" t="inlineStr">
        <is>
          <t>BLEKINGE LÄN</t>
        </is>
      </c>
      <c r="G615" t="inlineStr">
        <is>
          <t>RONNEBY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45546</v>
      </c>
      <c r="E616" s="1" t="n">
        <v>46291</v>
      </c>
      <c r="F616" t="inlineStr">
        <is>
          <t>BLEKINGE LÄN</t>
        </is>
      </c>
      <c r="G616" t="inlineStr">
        <is>
          <t>RONNEBY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23383-2025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45791</v>
      </c>
      <c r="E617" s="1" t="n">
        <v>46291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46291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46291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46291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46291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46291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46291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46291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46291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46291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46291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46291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46291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46291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46291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46291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46291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46291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2026-09-26T02:06:18Z</dcterms:created>
  <dcterms:modified xmlns:dcterms="http://purl.org/dc/terms/" xmlns:xsi="http://www.w3.org/2001/XMLSchema-instance" xsi:type="dcterms:W3CDTF">2026-09-26T02:06:19Z</dcterms:modified>
</cp:coreProperties>
</file>