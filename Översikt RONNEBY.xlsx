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46253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46253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7</v>
      </c>
      <c r="U9" t="n">
        <v>6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46253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46253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46253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46253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46253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46253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16</v>
      </c>
      <c r="U16" t="n">
        <v>0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46253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46253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46253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12131-2023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46253</v>
      </c>
      <c r="F21" t="inlineStr">
        <is>
          <t>BLEKINGE LÄN</t>
        </is>
      </c>
      <c r="G21" t="inlineStr">
        <is>
          <t>RONNEBY</t>
        </is>
      </c>
      <c r="I21" t="n">
        <v>3.8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Svarthakad buskskvätta
Trana</t>
        </is>
      </c>
      <c r="W21">
        <f>HYPERLINK("https://klasma.github.io/Logging_1081/artfynd/A 12131-2023 artfynd.xlsx", "A 12131-2023")</f>
        <v/>
      </c>
      <c r="X21">
        <f>HYPERLINK("https://klasma.github.io/Logging_1081/kartor/A 12131-2023 karta.png", "A 12131-2023")</f>
        <v/>
      </c>
      <c r="Y21">
        <f>HYPERLINK("https://klasma.github.io/Logging_1081/kartor_geotiff/A 12131-2023 georefererad karta.tif", "A 12131-2023")</f>
        <v/>
      </c>
      <c r="AA21">
        <f>HYPERLINK("https://klasma.github.io/Logging_1081/klagomål/A 12131-2023 FSC-klagomål.docx", "A 12131-2023")</f>
        <v/>
      </c>
      <c r="AB21">
        <f>HYPERLINK("https://klasma.github.io/Logging_1081/klagomålsmail/A 12131-2023 FSC-klagomål mail.docx", "A 12131-2023")</f>
        <v/>
      </c>
      <c r="AC21">
        <f>HYPERLINK("https://klasma.github.io/Logging_1081/tillsyn/A 12131-2023 tillsynsbegäran.docx", "A 12131-2023")</f>
        <v/>
      </c>
      <c r="AD21">
        <f>HYPERLINK("https://klasma.github.io/Logging_1081/tillsynsmail/A 12131-2023 tillsynsbegäran mail.docx", "A 12131-2023")</f>
        <v/>
      </c>
      <c r="AE21">
        <f>HYPERLINK("https://klasma.github.io/Logging_1081/fåglar/A 12131-2023 prioriterade fågelarter.docx", "A 12131-2023")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46253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36463-2023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45152</v>
      </c>
      <c r="E23" s="1" t="n">
        <v>46253</v>
      </c>
      <c r="F23" t="inlineStr">
        <is>
          <t>BLEKINGE LÄN</t>
        </is>
      </c>
      <c r="G23" t="inlineStr">
        <is>
          <t>RONNEBY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0</v>
      </c>
      <c r="V23" s="2" t="inlineStr">
        <is>
          <t>Murgröna
Rostfläck</t>
        </is>
      </c>
      <c r="W23">
        <f>HYPERLINK("https://klasma.github.io/Logging_1081/artfynd/A 36463-2023 artfynd.xlsx", "A 36463-2023")</f>
        <v/>
      </c>
      <c r="X23">
        <f>HYPERLINK("https://klasma.github.io/Logging_1081/kartor/A 36463-2023 karta.png", "A 36463-2023")</f>
        <v/>
      </c>
      <c r="Y23">
        <f>HYPERLINK("https://klasma.github.io/Logging_1081/kartor_geotiff/A 36463-2023 georefererad karta.tif", "A 36463-2023")</f>
        <v/>
      </c>
      <c r="AA23">
        <f>HYPERLINK("https://klasma.github.io/Logging_1081/klagomål/A 36463-2023 FSC-klagomål.docx", "A 36463-2023")</f>
        <v/>
      </c>
      <c r="AB23">
        <f>HYPERLINK("https://klasma.github.io/Logging_1081/klagomålsmail/A 36463-2023 FSC-klagomål mail.docx", "A 36463-2023")</f>
        <v/>
      </c>
      <c r="AC23">
        <f>HYPERLINK("https://klasma.github.io/Logging_1081/tillsyn/A 36463-2023 tillsynsbegäran.docx", "A 36463-2023")</f>
        <v/>
      </c>
      <c r="AD23">
        <f>HYPERLINK("https://klasma.github.io/Logging_1081/tillsynsmail/A 36463-2023 tillsynsbegäran mail.docx", "A 36463-2023")</f>
        <v/>
      </c>
    </row>
    <row r="24" ht="15" customHeight="1">
      <c r="A24" t="inlineStr">
        <is>
          <t>A 47800-2024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46253</v>
      </c>
      <c r="F24" t="inlineStr">
        <is>
          <t>BLEKINGE LÄN</t>
        </is>
      </c>
      <c r="G24" t="inlineStr">
        <is>
          <t>RONNEBY</t>
        </is>
      </c>
      <c r="H24" t="inlineStr">
        <is>
          <t>Kommuner</t>
        </is>
      </c>
      <c r="I24" t="n">
        <v>5.8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Grå taggsvamp
Tjockfotad fingersvamp</t>
        </is>
      </c>
      <c r="W24">
        <f>HYPERLINK("https://klasma.github.io/Logging_1081/artfynd/A 47800-2024 artfynd.xlsx", "A 47800-2024")</f>
        <v/>
      </c>
      <c r="X24">
        <f>HYPERLINK("https://klasma.github.io/Logging_1081/kartor/A 47800-2024 karta.png", "A 47800-2024")</f>
        <v/>
      </c>
      <c r="Y24">
        <f>HYPERLINK("https://klasma.github.io/Logging_1081/kartor_geotiff/A 47800-2024 georefererad karta.tif", "A 47800-2024")</f>
        <v/>
      </c>
      <c r="AA24">
        <f>HYPERLINK("https://klasma.github.io/Logging_1081/klagomål/A 47800-2024 FSC-klagomål.docx", "A 47800-2024")</f>
        <v/>
      </c>
      <c r="AB24">
        <f>HYPERLINK("https://klasma.github.io/Logging_1081/klagomålsmail/A 47800-2024 FSC-klagomål mail.docx", "A 47800-2024")</f>
        <v/>
      </c>
      <c r="AC24">
        <f>HYPERLINK("https://klasma.github.io/Logging_1081/tillsyn/A 47800-2024 tillsynsbegäran.docx", "A 47800-2024")</f>
        <v/>
      </c>
      <c r="AD24">
        <f>HYPERLINK("https://klasma.github.io/Logging_1081/tillsynsmail/A 47800-2024 tillsynsbegäran mail.docx", "A 47800-2024")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46253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46253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Oxtungssvamp
Sotlav</t>
        </is>
      </c>
      <c r="W26">
        <f>HYPERLINK("https://klasma.github.io/Logging_1081/artfynd/A 14351-2025 artfynd.xlsx", "A 14351-2025")</f>
        <v/>
      </c>
      <c r="X26">
        <f>HYPERLINK("https://klasma.github.io/Logging_1081/kartor/A 14351-2025 karta.png", "A 14351-2025")</f>
        <v/>
      </c>
      <c r="Y26">
        <f>HYPERLINK("https://klasma.github.io/Logging_1081/kartor_geotiff/A 14351-2025 georefererad karta.tif", "A 14351-2025")</f>
        <v/>
      </c>
      <c r="AA26">
        <f>HYPERLINK("https://klasma.github.io/Logging_1081/klagomål/A 14351-2025 FSC-klagomål.docx", "A 14351-2025")</f>
        <v/>
      </c>
      <c r="AB26">
        <f>HYPERLINK("https://klasma.github.io/Logging_1081/klagomålsmail/A 14351-2025 FSC-klagomål mail.docx", "A 14351-2025")</f>
        <v/>
      </c>
      <c r="AC26">
        <f>HYPERLINK("https://klasma.github.io/Logging_1081/tillsyn/A 14351-2025 tillsynsbegäran.docx", "A 14351-2025")</f>
        <v/>
      </c>
      <c r="AD26">
        <f>HYPERLINK("https://klasma.github.io/Logging_1081/tillsynsmail/A 14351-2025 tillsynsbegäran mail.docx", "A 14351-2025")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46253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46253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46253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46253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46253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7842-2023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46253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Bokvårtlav</t>
        </is>
      </c>
      <c r="W32">
        <f>HYPERLINK("https://klasma.github.io/Logging_1081/artfynd/A 7842-2023 artfynd.xlsx", "A 7842-2023")</f>
        <v/>
      </c>
      <c r="X32">
        <f>HYPERLINK("https://klasma.github.io/Logging_1081/kartor/A 7842-2023 karta.png", "A 7842-2023")</f>
        <v/>
      </c>
      <c r="Y32">
        <f>HYPERLINK("https://klasma.github.io/Logging_1081/kartor_geotiff/A 7842-2023 georefererad karta.tif", "A 7842-2023")</f>
        <v/>
      </c>
      <c r="AA32">
        <f>HYPERLINK("https://klasma.github.io/Logging_1081/klagomål/A 7842-2023 FSC-klagomål.docx", "A 7842-2023")</f>
        <v/>
      </c>
      <c r="AB32">
        <f>HYPERLINK("https://klasma.github.io/Logging_1081/klagomålsmail/A 7842-2023 FSC-klagomål mail.docx", "A 7842-2023")</f>
        <v/>
      </c>
      <c r="AC32">
        <f>HYPERLINK("https://klasma.github.io/Logging_1081/tillsyn/A 7842-2023 tillsynsbegäran.docx", "A 7842-2023")</f>
        <v/>
      </c>
      <c r="AD32">
        <f>HYPERLINK("https://klasma.github.io/Logging_1081/tillsynsmail/A 7842-2023 tillsynsbegäran mail.docx", "A 7842-2023")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46253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14940-2023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46253</v>
      </c>
      <c r="F34" t="inlineStr">
        <is>
          <t>BLEKINGE LÄN</t>
        </is>
      </c>
      <c r="G34" t="inlineStr">
        <is>
          <t>RONNEBY</t>
        </is>
      </c>
      <c r="H34" t="inlineStr">
        <is>
          <t>Övriga statliga verk och myndigheter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Grönhjon</t>
        </is>
      </c>
      <c r="W34">
        <f>HYPERLINK("https://klasma.github.io/Logging_1081/artfynd/A 14940-2023 artfynd.xlsx", "A 14940-2023")</f>
        <v/>
      </c>
      <c r="X34">
        <f>HYPERLINK("https://klasma.github.io/Logging_1081/kartor/A 14940-2023 karta.png", "A 14940-2023")</f>
        <v/>
      </c>
      <c r="Y34">
        <f>HYPERLINK("https://klasma.github.io/Logging_1081/kartor_geotiff/A 14940-2023 georefererad karta.tif", "A 14940-2023")</f>
        <v/>
      </c>
      <c r="AA34">
        <f>HYPERLINK("https://klasma.github.io/Logging_1081/klagomål/A 14940-2023 FSC-klagomål.docx", "A 14940-2023")</f>
        <v/>
      </c>
      <c r="AB34">
        <f>HYPERLINK("https://klasma.github.io/Logging_1081/klagomålsmail/A 14940-2023 FSC-klagomål mail.docx", "A 14940-2023")</f>
        <v/>
      </c>
      <c r="AC34">
        <f>HYPERLINK("https://klasma.github.io/Logging_1081/tillsyn/A 14940-2023 tillsynsbegäran.docx", "A 14940-2023")</f>
        <v/>
      </c>
      <c r="AD34">
        <f>HYPERLINK("https://klasma.github.io/Logging_1081/tillsynsmail/A 14940-2023 tillsynsbegäran mail.docx", "A 14940-2023")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46253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46253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46253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21446-2023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45063</v>
      </c>
      <c r="E38" s="1" t="n">
        <v>46253</v>
      </c>
      <c r="F38" t="inlineStr">
        <is>
          <t>BLEKINGE LÄN</t>
        </is>
      </c>
      <c r="G38" t="inlineStr">
        <is>
          <t>RONNEBY</t>
        </is>
      </c>
      <c r="H38" t="inlineStr">
        <is>
          <t>Kommuner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HYPERLINK("https://klasma.github.io/Logging_1081/artfynd/A 21446-2023 artfynd.xlsx", "A 21446-2023")</f>
        <v/>
      </c>
      <c r="X38">
        <f>HYPERLINK("https://klasma.github.io/Logging_1081/kartor/A 21446-2023 karta.png", "A 21446-2023")</f>
        <v/>
      </c>
      <c r="Y38">
        <f>HYPERLINK("https://klasma.github.io/Logging_1081/kartor_geotiff/A 21446-2023 georefererad karta.tif", "A 21446-2023")</f>
        <v/>
      </c>
      <c r="AA38">
        <f>HYPERLINK("https://klasma.github.io/Logging_1081/klagomål/A 21446-2023 FSC-klagomål.docx", "A 21446-2023")</f>
        <v/>
      </c>
      <c r="AB38">
        <f>HYPERLINK("https://klasma.github.io/Logging_1081/klagomålsmail/A 21446-2023 FSC-klagomål mail.docx", "A 21446-2023")</f>
        <v/>
      </c>
      <c r="AC38">
        <f>HYPERLINK("https://klasma.github.io/Logging_1081/tillsyn/A 21446-2023 tillsynsbegäran.docx", "A 21446-2023")</f>
        <v/>
      </c>
      <c r="AD38">
        <f>HYPERLINK("https://klasma.github.io/Logging_1081/tillsynsmail/A 21446-2023 tillsynsbegäran mail.docx", "A 21446-2023")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46253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46253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46253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46253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9309-2023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44980</v>
      </c>
      <c r="E43" s="1" t="n">
        <v>46253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Tibast</t>
        </is>
      </c>
      <c r="W43">
        <f>HYPERLINK("https://klasma.github.io/Logging_1081/artfynd/A 9309-2023 artfynd.xlsx", "A 9309-2023")</f>
        <v/>
      </c>
      <c r="X43">
        <f>HYPERLINK("https://klasma.github.io/Logging_1081/kartor/A 9309-2023 karta.png", "A 9309-2023")</f>
        <v/>
      </c>
      <c r="Y43">
        <f>HYPERLINK("https://klasma.github.io/Logging_1081/kartor_geotiff/A 9309-2023 georefererad karta.tif", "A 9309-2023")</f>
        <v/>
      </c>
      <c r="AA43">
        <f>HYPERLINK("https://klasma.github.io/Logging_1081/klagomål/A 9309-2023 FSC-klagomål.docx", "A 9309-2023")</f>
        <v/>
      </c>
      <c r="AB43">
        <f>HYPERLINK("https://klasma.github.io/Logging_1081/klagomålsmail/A 9309-2023 FSC-klagomål mail.docx", "A 9309-2023")</f>
        <v/>
      </c>
      <c r="AC43">
        <f>HYPERLINK("https://klasma.github.io/Logging_1081/tillsyn/A 9309-2023 tillsynsbegäran.docx", "A 9309-2023")</f>
        <v/>
      </c>
      <c r="AD43">
        <f>HYPERLINK("https://klasma.github.io/Logging_1081/tillsynsmail/A 9309-2023 tillsynsbegäran mail.docx", "A 9309-2023")</f>
        <v/>
      </c>
    </row>
    <row r="44" ht="15" customHeight="1">
      <c r="A44" t="inlineStr">
        <is>
          <t>A 45186-2021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44439</v>
      </c>
      <c r="E44" s="1" t="n">
        <v>46253</v>
      </c>
      <c r="F44" t="inlineStr">
        <is>
          <t>BLEKINGE LÄN</t>
        </is>
      </c>
      <c r="G44" t="inlineStr">
        <is>
          <t>RONNEBY</t>
        </is>
      </c>
      <c r="I44" t="n">
        <v>3.7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 glada</t>
        </is>
      </c>
      <c r="W44">
        <f>HYPERLINK("https://klasma.github.io/Logging_1081/artfynd/A 45186-2021 artfynd.xlsx", "A 45186-2021")</f>
        <v/>
      </c>
      <c r="X44">
        <f>HYPERLINK("https://klasma.github.io/Logging_1081/kartor/A 45186-2021 karta.png", "A 45186-2021")</f>
        <v/>
      </c>
      <c r="Y44">
        <f>HYPERLINK("https://klasma.github.io/Logging_1081/kartor_geotiff/A 45186-2021 georefererad karta.tif", "A 45186-2021")</f>
        <v/>
      </c>
      <c r="AA44">
        <f>HYPERLINK("https://klasma.github.io/Logging_1081/klagomål/A 45186-2021 FSC-klagomål.docx", "A 45186-2021")</f>
        <v/>
      </c>
      <c r="AB44">
        <f>HYPERLINK("https://klasma.github.io/Logging_1081/klagomålsmail/A 45186-2021 FSC-klagomål mail.docx", "A 45186-2021")</f>
        <v/>
      </c>
      <c r="AC44">
        <f>HYPERLINK("https://klasma.github.io/Logging_1081/tillsyn/A 45186-2021 tillsynsbegäran.docx", "A 45186-2021")</f>
        <v/>
      </c>
      <c r="AD44">
        <f>HYPERLINK("https://klasma.github.io/Logging_1081/tillsynsmail/A 45186-2021 tillsynsbegäran mail.docx", "A 45186-2021")</f>
        <v/>
      </c>
      <c r="AE44">
        <f>HYPERLINK("https://klasma.github.io/Logging_1081/fåglar/A 45186-2021 prioriterade fågelarter.docx", "A 45186-2021")</f>
        <v/>
      </c>
    </row>
    <row r="45" ht="15" customHeight="1">
      <c r="A45" t="inlineStr">
        <is>
          <t>A 33929-2026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46252</v>
      </c>
      <c r="E45" s="1" t="n">
        <v>46253</v>
      </c>
      <c r="F45" t="inlineStr">
        <is>
          <t>BLEKINGE LÄN</t>
        </is>
      </c>
      <c r="G45" t="inlineStr">
        <is>
          <t>RONNEBY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HYPERLINK("https://klasma.github.io/Logging_1081/artfynd/A 33929-2026 artfynd.xlsx", "A 33929-2026")</f>
        <v/>
      </c>
      <c r="X45">
        <f>HYPERLINK("https://klasma.github.io/Logging_1081/kartor/A 33929-2026 karta.png", "A 33929-2026")</f>
        <v/>
      </c>
      <c r="Y45">
        <f>HYPERLINK("https://klasma.github.io/Logging_1081/kartor_geotiff/A 33929-2026 georefererad karta.tif", "A 33929-2026")</f>
        <v/>
      </c>
      <c r="AA45">
        <f>HYPERLINK("https://klasma.github.io/Logging_1081/klagomål/A 33929-2026 FSC-klagomål.docx", "A 33929-2026")</f>
        <v/>
      </c>
      <c r="AB45">
        <f>HYPERLINK("https://klasma.github.io/Logging_1081/klagomålsmail/A 33929-2026 FSC-klagomål mail.docx", "A 33929-2026")</f>
        <v/>
      </c>
      <c r="AC45">
        <f>HYPERLINK("https://klasma.github.io/Logging_1081/tillsyn/A 33929-2026 tillsynsbegäran.docx", "A 33929-2026")</f>
        <v/>
      </c>
      <c r="AD45">
        <f>HYPERLINK("https://klasma.github.io/Logging_1081/tillsynsmail/A 33929-2026 tillsynsbegäran mail.docx", "A 33929-2026")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46253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46253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46253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46253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46253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46253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46253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46253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53841-2022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46253</v>
      </c>
      <c r="F54" t="inlineStr">
        <is>
          <t>BLEKINGE LÄN</t>
        </is>
      </c>
      <c r="G54" t="inlineStr">
        <is>
          <t>RONNEBY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46253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46253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46253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46253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46253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46253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46253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46253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46253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46253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46253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46253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46253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46253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46253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46253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46253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46253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46253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46253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46253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46253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46253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46253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46253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46253</v>
      </c>
      <c r="F80" t="inlineStr">
        <is>
          <t>BLEKINGE LÄN</t>
        </is>
      </c>
      <c r="G80" t="inlineStr">
        <is>
          <t>RONNEBY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46253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46253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46253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46253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46253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46253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46253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46253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46253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46253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46253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44434</v>
      </c>
      <c r="E92" s="1" t="n">
        <v>46253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46253</v>
      </c>
      <c r="F93" t="inlineStr">
        <is>
          <t>BLEKINGE LÄN</t>
        </is>
      </c>
      <c r="G93" t="inlineStr">
        <is>
          <t>RONNEBY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66288-2021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46253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46253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46253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46253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46253</v>
      </c>
      <c r="F98" t="inlineStr">
        <is>
          <t>BLEKINGE LÄN</t>
        </is>
      </c>
      <c r="G98" t="inlineStr">
        <is>
          <t>RONNEBY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46253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46253</v>
      </c>
      <c r="F100" t="inlineStr">
        <is>
          <t>BLEKINGE LÄN</t>
        </is>
      </c>
      <c r="G100" t="inlineStr">
        <is>
          <t>RONNEBY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44694</v>
      </c>
      <c r="E101" s="1" t="n">
        <v>46253</v>
      </c>
      <c r="F101" t="inlineStr">
        <is>
          <t>BLEKINGE LÄN</t>
        </is>
      </c>
      <c r="G101" t="inlineStr">
        <is>
          <t>RONNEBY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44504</v>
      </c>
      <c r="E102" s="1" t="n">
        <v>46253</v>
      </c>
      <c r="F102" t="inlineStr">
        <is>
          <t>BLEKINGE LÄN</t>
        </is>
      </c>
      <c r="G102" t="inlineStr">
        <is>
          <t>RONNEBY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46253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46253</v>
      </c>
      <c r="F104" t="inlineStr">
        <is>
          <t>BLEKINGE LÄN</t>
        </is>
      </c>
      <c r="G104" t="inlineStr">
        <is>
          <t>RONNEBY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44638</v>
      </c>
      <c r="E105" s="1" t="n">
        <v>46253</v>
      </c>
      <c r="F105" t="inlineStr">
        <is>
          <t>BLEKINGE LÄN</t>
        </is>
      </c>
      <c r="G105" t="inlineStr">
        <is>
          <t>RONNEBY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46253</v>
      </c>
      <c r="F106" t="inlineStr">
        <is>
          <t>BLEKINGE LÄN</t>
        </is>
      </c>
      <c r="G106" t="inlineStr">
        <is>
          <t>RONNEBY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44637</v>
      </c>
      <c r="E107" s="1" t="n">
        <v>46253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46461-2021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44445</v>
      </c>
      <c r="E108" s="1" t="n">
        <v>46253</v>
      </c>
      <c r="F108" t="inlineStr">
        <is>
          <t>BLEKINGE LÄN</t>
        </is>
      </c>
      <c r="G108" t="inlineStr">
        <is>
          <t>RONNEBY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46253</v>
      </c>
      <c r="F109" t="inlineStr">
        <is>
          <t>BLEKINGE LÄN</t>
        </is>
      </c>
      <c r="G109" t="inlineStr">
        <is>
          <t>RONNEBY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46253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46253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46253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46253</v>
      </c>
      <c r="F113" t="inlineStr">
        <is>
          <t>BLEKINGE LÄN</t>
        </is>
      </c>
      <c r="G113" t="inlineStr">
        <is>
          <t>RONNEBY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44762</v>
      </c>
      <c r="E114" s="1" t="n">
        <v>46253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46253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46253</v>
      </c>
      <c r="F116" t="inlineStr">
        <is>
          <t>BLEKINGE LÄN</t>
        </is>
      </c>
      <c r="G116" t="inlineStr">
        <is>
          <t>RONNEBY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46253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46253</v>
      </c>
      <c r="F118" t="inlineStr">
        <is>
          <t>BLEKINGE LÄN</t>
        </is>
      </c>
      <c r="G118" t="inlineStr">
        <is>
          <t>RONNEBY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46253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45051</v>
      </c>
      <c r="E120" s="1" t="n">
        <v>46253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46253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44778</v>
      </c>
      <c r="E122" s="1" t="n">
        <v>46253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45360</v>
      </c>
      <c r="E123" s="1" t="n">
        <v>46253</v>
      </c>
      <c r="F123" t="inlineStr">
        <is>
          <t>BLEKINGE LÄN</t>
        </is>
      </c>
      <c r="G123" t="inlineStr">
        <is>
          <t>RONNEBY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45536</v>
      </c>
      <c r="E124" s="1" t="n">
        <v>46253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46253</v>
      </c>
      <c r="F125" t="inlineStr">
        <is>
          <t>BLEKINGE LÄN</t>
        </is>
      </c>
      <c r="G125" t="inlineStr">
        <is>
          <t>RONNEBY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46253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45310</v>
      </c>
      <c r="E127" s="1" t="n">
        <v>46253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44893</v>
      </c>
      <c r="E128" s="1" t="n">
        <v>46253</v>
      </c>
      <c r="F128" t="inlineStr">
        <is>
          <t>BLEKINGE LÄN</t>
        </is>
      </c>
      <c r="G128" t="inlineStr">
        <is>
          <t>RONNEBY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46253</v>
      </c>
      <c r="F129" t="inlineStr">
        <is>
          <t>BLEKINGE LÄN</t>
        </is>
      </c>
      <c r="G129" t="inlineStr">
        <is>
          <t>RONNEBY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46253</v>
      </c>
      <c r="F130" t="inlineStr">
        <is>
          <t>BLEKINGE LÄN</t>
        </is>
      </c>
      <c r="G130" t="inlineStr">
        <is>
          <t>RONNEBY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46253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46253</v>
      </c>
      <c r="F132" t="inlineStr">
        <is>
          <t>BLEKINGE LÄN</t>
        </is>
      </c>
      <c r="G132" t="inlineStr">
        <is>
          <t>RONNEBY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45381</v>
      </c>
      <c r="E133" s="1" t="n">
        <v>46253</v>
      </c>
      <c r="F133" t="inlineStr">
        <is>
          <t>BLEKINGE LÄN</t>
        </is>
      </c>
      <c r="G133" t="inlineStr">
        <is>
          <t>RONNEBY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45754</v>
      </c>
      <c r="E134" s="1" t="n">
        <v>46253</v>
      </c>
      <c r="F134" t="inlineStr">
        <is>
          <t>BLEKINGE LÄN</t>
        </is>
      </c>
      <c r="G134" t="inlineStr">
        <is>
          <t>RONNEBY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46253</v>
      </c>
      <c r="F135" t="inlineStr">
        <is>
          <t>BLEKINGE LÄN</t>
        </is>
      </c>
      <c r="G135" t="inlineStr">
        <is>
          <t>RONNEBY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46253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45121</v>
      </c>
      <c r="E137" s="1" t="n">
        <v>46253</v>
      </c>
      <c r="F137" t="inlineStr">
        <is>
          <t>BLEKINGE LÄN</t>
        </is>
      </c>
      <c r="G137" t="inlineStr">
        <is>
          <t>RONNEBY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46253</v>
      </c>
      <c r="F138" t="inlineStr">
        <is>
          <t>BLEKINGE LÄN</t>
        </is>
      </c>
      <c r="G138" t="inlineStr">
        <is>
          <t>RONNEBY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46253</v>
      </c>
      <c r="F139" t="inlineStr">
        <is>
          <t>BLEKINGE LÄN</t>
        </is>
      </c>
      <c r="G139" t="inlineStr">
        <is>
          <t>RONNEBY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46253</v>
      </c>
      <c r="F140" t="inlineStr">
        <is>
          <t>BLEKINGE LÄN</t>
        </is>
      </c>
      <c r="G140" t="inlineStr">
        <is>
          <t>RONNEBY</t>
        </is>
      </c>
      <c r="I140" t="n">
        <v>14.4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44884</v>
      </c>
      <c r="E141" s="1" t="n">
        <v>46253</v>
      </c>
      <c r="F141" t="inlineStr">
        <is>
          <t>BLEKINGE LÄN</t>
        </is>
      </c>
      <c r="G141" t="inlineStr">
        <is>
          <t>RONNEBY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46253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46253</v>
      </c>
      <c r="F143" t="inlineStr">
        <is>
          <t>BLEKINGE LÄN</t>
        </is>
      </c>
      <c r="G143" t="inlineStr">
        <is>
          <t>RONNEBY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46253</v>
      </c>
      <c r="F144" t="inlineStr">
        <is>
          <t>BLEKINGE LÄN</t>
        </is>
      </c>
      <c r="G144" t="inlineStr">
        <is>
          <t>RONNEBY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46253</v>
      </c>
      <c r="F145" t="inlineStr">
        <is>
          <t>BLEKINGE LÄN</t>
        </is>
      </c>
      <c r="G145" t="inlineStr">
        <is>
          <t>RONNEBY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46253</v>
      </c>
      <c r="F146" t="inlineStr">
        <is>
          <t>BLEKINGE LÄN</t>
        </is>
      </c>
      <c r="G146" t="inlineStr">
        <is>
          <t>RONNEBY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46253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45303</v>
      </c>
      <c r="E148" s="1" t="n">
        <v>46253</v>
      </c>
      <c r="F148" t="inlineStr">
        <is>
          <t>BLEKINGE LÄN</t>
        </is>
      </c>
      <c r="G148" t="inlineStr">
        <is>
          <t>RONNEBY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46253</v>
      </c>
      <c r="F149" t="inlineStr">
        <is>
          <t>BLEKINGE LÄN</t>
        </is>
      </c>
      <c r="G149" t="inlineStr">
        <is>
          <t>RONNEBY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45646</v>
      </c>
      <c r="E150" s="1" t="n">
        <v>46253</v>
      </c>
      <c r="F150" t="inlineStr">
        <is>
          <t>BLEKINGE LÄN</t>
        </is>
      </c>
      <c r="G150" t="inlineStr">
        <is>
          <t>RONNEBY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45426</v>
      </c>
      <c r="E151" s="1" t="n">
        <v>46253</v>
      </c>
      <c r="F151" t="inlineStr">
        <is>
          <t>BLEKINGE LÄN</t>
        </is>
      </c>
      <c r="G151" t="inlineStr">
        <is>
          <t>RONNEBY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64465-2023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45280</v>
      </c>
      <c r="E152" s="1" t="n">
        <v>46253</v>
      </c>
      <c r="F152" t="inlineStr">
        <is>
          <t>BLEKINGE LÄN</t>
        </is>
      </c>
      <c r="G152" t="inlineStr">
        <is>
          <t>RONNEBY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46253</v>
      </c>
      <c r="F153" t="inlineStr">
        <is>
          <t>BLEKINGE LÄN</t>
        </is>
      </c>
      <c r="G153" t="inlineStr">
        <is>
          <t>RONNEBY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46253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46253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45619</v>
      </c>
      <c r="E156" s="1" t="n">
        <v>46253</v>
      </c>
      <c r="F156" t="inlineStr">
        <is>
          <t>BLEKINGE LÄN</t>
        </is>
      </c>
      <c r="G156" t="inlineStr">
        <is>
          <t>RONNEBY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30197-2024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45490</v>
      </c>
      <c r="E157" s="1" t="n">
        <v>46253</v>
      </c>
      <c r="F157" t="inlineStr">
        <is>
          <t>BLEKINGE LÄN</t>
        </is>
      </c>
      <c r="G157" t="inlineStr">
        <is>
          <t>RONNEBY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46253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46253</v>
      </c>
      <c r="F159" t="inlineStr">
        <is>
          <t>BLEKINGE LÄN</t>
        </is>
      </c>
      <c r="G159" t="inlineStr">
        <is>
          <t>RONNEBY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45785</v>
      </c>
      <c r="E160" s="1" t="n">
        <v>46253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46253</v>
      </c>
      <c r="F161" t="inlineStr">
        <is>
          <t>BLEKINGE LÄN</t>
        </is>
      </c>
      <c r="G161" t="inlineStr">
        <is>
          <t>RONNEBY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54065-2024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45616</v>
      </c>
      <c r="E162" s="1" t="n">
        <v>46253</v>
      </c>
      <c r="F162" t="inlineStr">
        <is>
          <t>BLEKINGE LÄN</t>
        </is>
      </c>
      <c r="G162" t="inlineStr">
        <is>
          <t>RONNEBY</t>
        </is>
      </c>
      <c r="H162" t="inlineStr">
        <is>
          <t>Kommuner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45178</v>
      </c>
      <c r="E163" s="1" t="n">
        <v>46253</v>
      </c>
      <c r="F163" t="inlineStr">
        <is>
          <t>BLEKINGE LÄN</t>
        </is>
      </c>
      <c r="G163" t="inlineStr">
        <is>
          <t>RONNEBY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46253</v>
      </c>
      <c r="F164" t="inlineStr">
        <is>
          <t>BLEKINGE LÄN</t>
        </is>
      </c>
      <c r="G164" t="inlineStr">
        <is>
          <t>RONNEBY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45551</v>
      </c>
      <c r="E165" s="1" t="n">
        <v>46253</v>
      </c>
      <c r="F165" t="inlineStr">
        <is>
          <t>BLEKINGE LÄN</t>
        </is>
      </c>
      <c r="G165" t="inlineStr">
        <is>
          <t>RONNEBY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46253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46253</v>
      </c>
      <c r="F167" t="inlineStr">
        <is>
          <t>BLEKINGE LÄN</t>
        </is>
      </c>
      <c r="G167" t="inlineStr">
        <is>
          <t>RONNEBY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44565</v>
      </c>
      <c r="E168" s="1" t="n">
        <v>46253</v>
      </c>
      <c r="F168" t="inlineStr">
        <is>
          <t>BLEKINGE LÄN</t>
        </is>
      </c>
      <c r="G168" t="inlineStr">
        <is>
          <t>RONNEBY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46253</v>
      </c>
      <c r="F169" t="inlineStr">
        <is>
          <t>BLEKINGE LÄN</t>
        </is>
      </c>
      <c r="G169" t="inlineStr">
        <is>
          <t>RONNEBY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46253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1909-2023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44939</v>
      </c>
      <c r="E171" s="1" t="n">
        <v>46253</v>
      </c>
      <c r="F171" t="inlineStr">
        <is>
          <t>BLEKINGE LÄN</t>
        </is>
      </c>
      <c r="G171" t="inlineStr">
        <is>
          <t>RONNEBY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45505</v>
      </c>
      <c r="E172" s="1" t="n">
        <v>46253</v>
      </c>
      <c r="F172" t="inlineStr">
        <is>
          <t>BLEKINGE LÄN</t>
        </is>
      </c>
      <c r="G172" t="inlineStr">
        <is>
          <t>RONNEBY</t>
        </is>
      </c>
      <c r="H172" t="inlineStr">
        <is>
          <t>Kommuner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45192</v>
      </c>
      <c r="E173" s="1" t="n">
        <v>46253</v>
      </c>
      <c r="F173" t="inlineStr">
        <is>
          <t>BLEKINGE LÄN</t>
        </is>
      </c>
      <c r="G173" t="inlineStr">
        <is>
          <t>RONNEBY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46253</v>
      </c>
      <c r="F174" t="inlineStr">
        <is>
          <t>BLEKINGE LÄN</t>
        </is>
      </c>
      <c r="G174" t="inlineStr">
        <is>
          <t>RONNEBY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45413</v>
      </c>
      <c r="E175" s="1" t="n">
        <v>46253</v>
      </c>
      <c r="F175" t="inlineStr">
        <is>
          <t>BLEKINGE LÄN</t>
        </is>
      </c>
      <c r="G175" t="inlineStr">
        <is>
          <t>RONNEBY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46253</v>
      </c>
      <c r="F176" t="inlineStr">
        <is>
          <t>BLEKINGE LÄN</t>
        </is>
      </c>
      <c r="G176" t="inlineStr">
        <is>
          <t>RONNEBY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46046</v>
      </c>
      <c r="E177" s="1" t="n">
        <v>46253</v>
      </c>
      <c r="F177" t="inlineStr">
        <is>
          <t>BLEKINGE LÄN</t>
        </is>
      </c>
      <c r="G177" t="inlineStr">
        <is>
          <t>RONNEBY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46434-2023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46253</v>
      </c>
      <c r="F178" t="inlineStr">
        <is>
          <t>BLEKINGE LÄN</t>
        </is>
      </c>
      <c r="G178" t="inlineStr">
        <is>
          <t>RONNEBY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46253</v>
      </c>
      <c r="F179" t="inlineStr">
        <is>
          <t>BLEKINGE LÄN</t>
        </is>
      </c>
      <c r="G179" t="inlineStr">
        <is>
          <t>RONNEBY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45722</v>
      </c>
      <c r="E180" s="1" t="n">
        <v>46253</v>
      </c>
      <c r="F180" t="inlineStr">
        <is>
          <t>BLEKINGE LÄN</t>
        </is>
      </c>
      <c r="G180" t="inlineStr">
        <is>
          <t>RONNEBY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46052</v>
      </c>
      <c r="E181" s="1" t="n">
        <v>46253</v>
      </c>
      <c r="F181" t="inlineStr">
        <is>
          <t>BLEKINGE LÄN</t>
        </is>
      </c>
      <c r="G181" t="inlineStr">
        <is>
          <t>RONNEBY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46253</v>
      </c>
      <c r="F182" t="inlineStr">
        <is>
          <t>BLEKINGE LÄN</t>
        </is>
      </c>
      <c r="G182" t="inlineStr">
        <is>
          <t>RONNEBY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46253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46253</v>
      </c>
      <c r="F184" t="inlineStr">
        <is>
          <t>BLEKINGE LÄN</t>
        </is>
      </c>
      <c r="G184" t="inlineStr">
        <is>
          <t>RONNEBY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46253</v>
      </c>
      <c r="F185" t="inlineStr">
        <is>
          <t>BLEKINGE LÄN</t>
        </is>
      </c>
      <c r="G185" t="inlineStr">
        <is>
          <t>RONNEBY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46253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46253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46253</v>
      </c>
      <c r="F188" t="inlineStr">
        <is>
          <t>BLEKINGE LÄN</t>
        </is>
      </c>
      <c r="G188" t="inlineStr">
        <is>
          <t>RONNEBY</t>
        </is>
      </c>
      <c r="H188" t="inlineStr">
        <is>
          <t>Kommuner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46253</v>
      </c>
      <c r="F189" t="inlineStr">
        <is>
          <t>BLEKINGE LÄN</t>
        </is>
      </c>
      <c r="G189" t="inlineStr">
        <is>
          <t>RONNEBY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46253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45071</v>
      </c>
      <c r="E191" s="1" t="n">
        <v>46253</v>
      </c>
      <c r="F191" t="inlineStr">
        <is>
          <t>BLEKINGE LÄN</t>
        </is>
      </c>
      <c r="G191" t="inlineStr">
        <is>
          <t>RONNEBY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46253</v>
      </c>
      <c r="F192" t="inlineStr">
        <is>
          <t>BLEKINGE LÄN</t>
        </is>
      </c>
      <c r="G192" t="inlineStr">
        <is>
          <t>RONNEBY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46253</v>
      </c>
      <c r="F193" t="inlineStr">
        <is>
          <t>BLEKINGE LÄN</t>
        </is>
      </c>
      <c r="G193" t="inlineStr">
        <is>
          <t>RONNEBY</t>
        </is>
      </c>
      <c r="H193" t="inlineStr">
        <is>
          <t>Övriga Aktiebolag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45892</v>
      </c>
      <c r="E194" s="1" t="n">
        <v>46253</v>
      </c>
      <c r="F194" t="inlineStr">
        <is>
          <t>BLEKINGE LÄN</t>
        </is>
      </c>
      <c r="G194" t="inlineStr">
        <is>
          <t>RONNEBY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46253</v>
      </c>
      <c r="F195" t="inlineStr">
        <is>
          <t>BLEKINGE LÄN</t>
        </is>
      </c>
      <c r="G195" t="inlineStr">
        <is>
          <t>RONNEBY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46253</v>
      </c>
      <c r="F196" t="inlineStr">
        <is>
          <t>BLEKINGE LÄN</t>
        </is>
      </c>
      <c r="G196" t="inlineStr">
        <is>
          <t>RONNEBY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7508-2026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46253</v>
      </c>
      <c r="F197" t="inlineStr">
        <is>
          <t>BLEKINGE LÄN</t>
        </is>
      </c>
      <c r="G197" t="inlineStr">
        <is>
          <t>RONNEBY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46059</v>
      </c>
      <c r="E198" s="1" t="n">
        <v>46253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46253</v>
      </c>
      <c r="F199" t="inlineStr">
        <is>
          <t>BLEKINGE LÄN</t>
        </is>
      </c>
      <c r="G199" t="inlineStr">
        <is>
          <t>RONNEBY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44754</v>
      </c>
      <c r="E200" s="1" t="n">
        <v>46253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46253</v>
      </c>
      <c r="F201" t="inlineStr">
        <is>
          <t>BLEKINGE LÄN</t>
        </is>
      </c>
      <c r="G201" t="inlineStr">
        <is>
          <t>RONNEBY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46253</v>
      </c>
      <c r="F202" t="inlineStr">
        <is>
          <t>BLEKINGE LÄN</t>
        </is>
      </c>
      <c r="G202" t="inlineStr">
        <is>
          <t>RONNEBY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46253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46253</v>
      </c>
      <c r="F204" t="inlineStr">
        <is>
          <t>BLEKINGE LÄN</t>
        </is>
      </c>
      <c r="G204" t="inlineStr">
        <is>
          <t>RONNEBY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46253</v>
      </c>
      <c r="F205" t="inlineStr">
        <is>
          <t>BLEKINGE LÄN</t>
        </is>
      </c>
      <c r="G205" t="inlineStr">
        <is>
          <t>RONNEBY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46253</v>
      </c>
      <c r="F206" t="inlineStr">
        <is>
          <t>BLEKINGE LÄN</t>
        </is>
      </c>
      <c r="G206" t="inlineStr">
        <is>
          <t>RONNEBY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46253</v>
      </c>
      <c r="F207" t="inlineStr">
        <is>
          <t>BLEKINGE LÄN</t>
        </is>
      </c>
      <c r="G207" t="inlineStr">
        <is>
          <t>RONNEBY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46253</v>
      </c>
      <c r="F208" t="inlineStr">
        <is>
          <t>BLEKINGE LÄN</t>
        </is>
      </c>
      <c r="G208" t="inlineStr">
        <is>
          <t>RONNEBY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45807</v>
      </c>
      <c r="E209" s="1" t="n">
        <v>46253</v>
      </c>
      <c r="F209" t="inlineStr">
        <is>
          <t>BLEKINGE LÄN</t>
        </is>
      </c>
      <c r="G209" t="inlineStr">
        <is>
          <t>RONNEBY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46253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46253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45068</v>
      </c>
      <c r="E212" s="1" t="n">
        <v>46253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46253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64466-2023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45280</v>
      </c>
      <c r="E214" s="1" t="n">
        <v>46253</v>
      </c>
      <c r="F214" t="inlineStr">
        <is>
          <t>BLEKINGE LÄN</t>
        </is>
      </c>
      <c r="G214" t="inlineStr">
        <is>
          <t>RONNEBY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46253</v>
      </c>
      <c r="F215" t="inlineStr">
        <is>
          <t>BLEKINGE LÄN</t>
        </is>
      </c>
      <c r="G215" t="inlineStr">
        <is>
          <t>RONNEBY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46253</v>
      </c>
      <c r="F216" t="inlineStr">
        <is>
          <t>BLEKINGE LÄN</t>
        </is>
      </c>
      <c r="G216" t="inlineStr">
        <is>
          <t>RONNEBY</t>
        </is>
      </c>
      <c r="H216" t="inlineStr">
        <is>
          <t>Kyrkan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46253</v>
      </c>
      <c r="F217" t="inlineStr">
        <is>
          <t>BLEKINGE LÄN</t>
        </is>
      </c>
      <c r="G217" t="inlineStr">
        <is>
          <t>RONNEBY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46073</v>
      </c>
      <c r="E218" s="1" t="n">
        <v>46253</v>
      </c>
      <c r="F218" t="inlineStr">
        <is>
          <t>BLEKINGE LÄN</t>
        </is>
      </c>
      <c r="G218" t="inlineStr">
        <is>
          <t>RONNEBY</t>
        </is>
      </c>
      <c r="H218" t="inlineStr">
        <is>
          <t>Kyrkan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46253</v>
      </c>
      <c r="F219" t="inlineStr">
        <is>
          <t>BLEKINGE LÄN</t>
        </is>
      </c>
      <c r="G219" t="inlineStr">
        <is>
          <t>RONNEBY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46253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46253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46253</v>
      </c>
      <c r="F222" t="inlineStr">
        <is>
          <t>BLEKINGE LÄN</t>
        </is>
      </c>
      <c r="G222" t="inlineStr">
        <is>
          <t>RONNEBY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45009</v>
      </c>
      <c r="E223" s="1" t="n">
        <v>46253</v>
      </c>
      <c r="F223" t="inlineStr">
        <is>
          <t>BLEKINGE LÄN</t>
        </is>
      </c>
      <c r="G223" t="inlineStr">
        <is>
          <t>RONNEBY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46253</v>
      </c>
      <c r="F224" t="inlineStr">
        <is>
          <t>BLEKINGE LÄN</t>
        </is>
      </c>
      <c r="G224" t="inlineStr">
        <is>
          <t>RONNEBY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43291-2025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45910</v>
      </c>
      <c r="E225" s="1" t="n">
        <v>46253</v>
      </c>
      <c r="F225" t="inlineStr">
        <is>
          <t>BLEKINGE LÄN</t>
        </is>
      </c>
      <c r="G225" t="inlineStr">
        <is>
          <t>RONNEBY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46253</v>
      </c>
      <c r="F226" t="inlineStr">
        <is>
          <t>BLEKINGE LÄN</t>
        </is>
      </c>
      <c r="G226" t="inlineStr">
        <is>
          <t>RONNEBY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46253</v>
      </c>
      <c r="F227" t="inlineStr">
        <is>
          <t>BLEKINGE LÄN</t>
        </is>
      </c>
      <c r="G227" t="inlineStr">
        <is>
          <t>RONNEBY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45843</v>
      </c>
      <c r="E228" s="1" t="n">
        <v>46253</v>
      </c>
      <c r="F228" t="inlineStr">
        <is>
          <t>BLEKINGE LÄN</t>
        </is>
      </c>
      <c r="G228" t="inlineStr">
        <is>
          <t>RONNEBY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46078</v>
      </c>
      <c r="E229" s="1" t="n">
        <v>46253</v>
      </c>
      <c r="F229" t="inlineStr">
        <is>
          <t>BLEKINGE LÄN</t>
        </is>
      </c>
      <c r="G229" t="inlineStr">
        <is>
          <t>RONNEBY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46253</v>
      </c>
      <c r="F230" t="inlineStr">
        <is>
          <t>BLEKINGE LÄN</t>
        </is>
      </c>
      <c r="G230" t="inlineStr">
        <is>
          <t>RONNEBY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46253</v>
      </c>
      <c r="F231" t="inlineStr">
        <is>
          <t>BLEKINGE LÄN</t>
        </is>
      </c>
      <c r="G231" t="inlineStr">
        <is>
          <t>RONNEBY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46079</v>
      </c>
      <c r="E232" s="1" t="n">
        <v>46253</v>
      </c>
      <c r="F232" t="inlineStr">
        <is>
          <t>BLEKINGE LÄN</t>
        </is>
      </c>
      <c r="G232" t="inlineStr">
        <is>
          <t>RONNEBY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45012</v>
      </c>
      <c r="E233" s="1" t="n">
        <v>46253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statliga verk och myndigheter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46253</v>
      </c>
      <c r="F234" t="inlineStr">
        <is>
          <t>BLEKINGE LÄN</t>
        </is>
      </c>
      <c r="G234" t="inlineStr">
        <is>
          <t>RONNEBY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46253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46079</v>
      </c>
      <c r="E236" s="1" t="n">
        <v>46253</v>
      </c>
      <c r="F236" t="inlineStr">
        <is>
          <t>BLEKINGE LÄN</t>
        </is>
      </c>
      <c r="G236" t="inlineStr">
        <is>
          <t>RONNEBY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10813-2026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46078</v>
      </c>
      <c r="E237" s="1" t="n">
        <v>46253</v>
      </c>
      <c r="F237" t="inlineStr">
        <is>
          <t>BLEKINGE LÄN</t>
        </is>
      </c>
      <c r="G237" t="inlineStr">
        <is>
          <t>RONNEBY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45299</v>
      </c>
      <c r="E238" s="1" t="n">
        <v>46253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46078</v>
      </c>
      <c r="E239" s="1" t="n">
        <v>46253</v>
      </c>
      <c r="F239" t="inlineStr">
        <is>
          <t>BLEKINGE LÄN</t>
        </is>
      </c>
      <c r="G239" t="inlineStr">
        <is>
          <t>RONNEBY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46253</v>
      </c>
      <c r="F240" t="inlineStr">
        <is>
          <t>BLEKINGE LÄN</t>
        </is>
      </c>
      <c r="G240" t="inlineStr">
        <is>
          <t>RONNEBY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46253</v>
      </c>
      <c r="F241" t="inlineStr">
        <is>
          <t>BLEKINGE LÄN</t>
        </is>
      </c>
      <c r="G241" t="inlineStr">
        <is>
          <t>RONNEBY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46253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46253</v>
      </c>
      <c r="F243" t="inlineStr">
        <is>
          <t>BLEKINGE LÄN</t>
        </is>
      </c>
      <c r="G243" t="inlineStr">
        <is>
          <t>RONNEBY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14099-2023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46253</v>
      </c>
      <c r="F244" t="inlineStr">
        <is>
          <t>BLEKINGE LÄN</t>
        </is>
      </c>
      <c r="G244" t="inlineStr">
        <is>
          <t>RONNEBY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46253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46253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46253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46086</v>
      </c>
      <c r="E248" s="1" t="n">
        <v>46253</v>
      </c>
      <c r="F248" t="inlineStr">
        <is>
          <t>BLEKINGE LÄN</t>
        </is>
      </c>
      <c r="G248" t="inlineStr">
        <is>
          <t>RONNEBY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28896-2024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45480</v>
      </c>
      <c r="E249" s="1" t="n">
        <v>46253</v>
      </c>
      <c r="F249" t="inlineStr">
        <is>
          <t>BLEKINGE LÄN</t>
        </is>
      </c>
      <c r="G249" t="inlineStr">
        <is>
          <t>RONNEBY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46253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46253</v>
      </c>
      <c r="F251" t="inlineStr">
        <is>
          <t>BLEKINGE LÄN</t>
        </is>
      </c>
      <c r="G251" t="inlineStr">
        <is>
          <t>RONNEBY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46253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46253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45061</v>
      </c>
      <c r="E254" s="1" t="n">
        <v>46253</v>
      </c>
      <c r="F254" t="inlineStr">
        <is>
          <t>BLEKINGE LÄN</t>
        </is>
      </c>
      <c r="G254" t="inlineStr">
        <is>
          <t>RONNEBY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46253</v>
      </c>
      <c r="F255" t="inlineStr">
        <is>
          <t>BLEKINGE LÄN</t>
        </is>
      </c>
      <c r="G255" t="inlineStr">
        <is>
          <t>RONNEBY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46253</v>
      </c>
      <c r="F256" t="inlineStr">
        <is>
          <t>BLEKINGE LÄN</t>
        </is>
      </c>
      <c r="G256" t="inlineStr">
        <is>
          <t>RONNEBY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44713</v>
      </c>
      <c r="E257" s="1" t="n">
        <v>46253</v>
      </c>
      <c r="F257" t="inlineStr">
        <is>
          <t>BLEKINGE LÄN</t>
        </is>
      </c>
      <c r="G257" t="inlineStr">
        <is>
          <t>RONNEBY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34302-2025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46253</v>
      </c>
      <c r="F258" t="inlineStr">
        <is>
          <t>BLEKINGE LÄN</t>
        </is>
      </c>
      <c r="G258" t="inlineStr">
        <is>
          <t>RONNEBY</t>
        </is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46253</v>
      </c>
      <c r="F259" t="inlineStr">
        <is>
          <t>BLEKINGE LÄN</t>
        </is>
      </c>
      <c r="G259" t="inlineStr">
        <is>
          <t>RONNEBY</t>
        </is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46253</v>
      </c>
      <c r="F260" t="inlineStr">
        <is>
          <t>BLEKINGE LÄN</t>
        </is>
      </c>
      <c r="G260" t="inlineStr">
        <is>
          <t>RONNEBY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46253</v>
      </c>
      <c r="F261" t="inlineStr">
        <is>
          <t>BLEKINGE LÄN</t>
        </is>
      </c>
      <c r="G261" t="inlineStr">
        <is>
          <t>RONNEBY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13034-2023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46253</v>
      </c>
      <c r="F262" t="inlineStr">
        <is>
          <t>BLEKINGE LÄN</t>
        </is>
      </c>
      <c r="G262" t="inlineStr">
        <is>
          <t>RONNEBY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46253</v>
      </c>
      <c r="F263" t="inlineStr">
        <is>
          <t>BLEKINGE LÄN</t>
        </is>
      </c>
      <c r="G263" t="inlineStr">
        <is>
          <t>RONNEBY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45178</v>
      </c>
      <c r="E264" s="1" t="n">
        <v>46253</v>
      </c>
      <c r="F264" t="inlineStr">
        <is>
          <t>BLEKINGE LÄN</t>
        </is>
      </c>
      <c r="G264" t="inlineStr">
        <is>
          <t>RONNEBY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46253</v>
      </c>
      <c r="F265" t="inlineStr">
        <is>
          <t>BLEKINGE LÄN</t>
        </is>
      </c>
      <c r="G265" t="inlineStr">
        <is>
          <t>RONNEBY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46253</v>
      </c>
      <c r="F266" t="inlineStr">
        <is>
          <t>BLEKINGE LÄN</t>
        </is>
      </c>
      <c r="G266" t="inlineStr">
        <is>
          <t>RONNEBY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45757</v>
      </c>
      <c r="E267" s="1" t="n">
        <v>46253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46253</v>
      </c>
      <c r="F268" t="inlineStr">
        <is>
          <t>BLEKINGE LÄN</t>
        </is>
      </c>
      <c r="G268" t="inlineStr">
        <is>
          <t>RONNEBY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45537</v>
      </c>
      <c r="E269" s="1" t="n">
        <v>46253</v>
      </c>
      <c r="F269" t="inlineStr">
        <is>
          <t>BLEKINGE LÄN</t>
        </is>
      </c>
      <c r="G269" t="inlineStr">
        <is>
          <t>RONNEBY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45843</v>
      </c>
      <c r="E270" s="1" t="n">
        <v>46253</v>
      </c>
      <c r="F270" t="inlineStr">
        <is>
          <t>BLEKINGE LÄN</t>
        </is>
      </c>
      <c r="G270" t="inlineStr">
        <is>
          <t>RONNEBY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46253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46253</v>
      </c>
      <c r="F272" t="inlineStr">
        <is>
          <t>BLEKINGE LÄN</t>
        </is>
      </c>
      <c r="G272" t="inlineStr">
        <is>
          <t>RONNEBY</t>
        </is>
      </c>
      <c r="H272" t="inlineStr">
        <is>
          <t>Övriga Aktiebolag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45932</v>
      </c>
      <c r="E273" s="1" t="n">
        <v>46253</v>
      </c>
      <c r="F273" t="inlineStr">
        <is>
          <t>BLEKINGE LÄN</t>
        </is>
      </c>
      <c r="G273" t="inlineStr">
        <is>
          <t>RONNEBY</t>
        </is>
      </c>
      <c r="H273" t="inlineStr">
        <is>
          <t>Övriga Aktiebolag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46253</v>
      </c>
      <c r="F274" t="inlineStr">
        <is>
          <t>BLEKINGE LÄN</t>
        </is>
      </c>
      <c r="G274" t="inlineStr">
        <is>
          <t>RONNEBY</t>
        </is>
      </c>
      <c r="H274" t="inlineStr">
        <is>
          <t>Övriga Aktiebolag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46253</v>
      </c>
      <c r="F275" t="inlineStr">
        <is>
          <t>BLEKINGE LÄN</t>
        </is>
      </c>
      <c r="G275" t="inlineStr">
        <is>
          <t>RONNEBY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46253</v>
      </c>
      <c r="F276" t="inlineStr">
        <is>
          <t>BLEKINGE LÄN</t>
        </is>
      </c>
      <c r="G276" t="inlineStr">
        <is>
          <t>RONNEBY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46253</v>
      </c>
      <c r="F277" t="inlineStr">
        <is>
          <t>BLEKINGE LÄN</t>
        </is>
      </c>
      <c r="G277" t="inlineStr">
        <is>
          <t>RONNEBY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46253</v>
      </c>
      <c r="F278" t="inlineStr">
        <is>
          <t>BLEKINGE LÄN</t>
        </is>
      </c>
      <c r="G278" t="inlineStr">
        <is>
          <t>RONNEBY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44822</v>
      </c>
      <c r="E279" s="1" t="n">
        <v>46253</v>
      </c>
      <c r="F279" t="inlineStr">
        <is>
          <t>BLEKINGE LÄN</t>
        </is>
      </c>
      <c r="G279" t="inlineStr">
        <is>
          <t>RONNEBY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46253</v>
      </c>
      <c r="F280" t="inlineStr">
        <is>
          <t>BLEKINGE LÄN</t>
        </is>
      </c>
      <c r="G280" t="inlineStr">
        <is>
          <t>RONNEBY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46253</v>
      </c>
      <c r="F281" t="inlineStr">
        <is>
          <t>BLEKINGE LÄN</t>
        </is>
      </c>
      <c r="G281" t="inlineStr">
        <is>
          <t>RONNEBY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46104</v>
      </c>
      <c r="E282" s="1" t="n">
        <v>46253</v>
      </c>
      <c r="F282" t="inlineStr">
        <is>
          <t>BLEKINGE LÄN</t>
        </is>
      </c>
      <c r="G282" t="inlineStr">
        <is>
          <t>RONNEBY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44987</v>
      </c>
      <c r="E283" s="1" t="n">
        <v>46253</v>
      </c>
      <c r="F283" t="inlineStr">
        <is>
          <t>BLEKINGE LÄN</t>
        </is>
      </c>
      <c r="G283" t="inlineStr">
        <is>
          <t>RONNEBY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26548-2022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44739</v>
      </c>
      <c r="E284" s="1" t="n">
        <v>46253</v>
      </c>
      <c r="F284" t="inlineStr">
        <is>
          <t>BLEKINGE LÄN</t>
        </is>
      </c>
      <c r="G284" t="inlineStr">
        <is>
          <t>RONNEBY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45856</v>
      </c>
      <c r="E285" s="1" t="n">
        <v>46253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46253</v>
      </c>
      <c r="F286" t="inlineStr">
        <is>
          <t>BLEKINGE LÄN</t>
        </is>
      </c>
      <c r="G286" t="inlineStr">
        <is>
          <t>RONNEBY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45482</v>
      </c>
      <c r="E287" s="1" t="n">
        <v>46253</v>
      </c>
      <c r="F287" t="inlineStr">
        <is>
          <t>BLEKINGE LÄN</t>
        </is>
      </c>
      <c r="G287" t="inlineStr">
        <is>
          <t>RONNEBY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45947</v>
      </c>
      <c r="E288" s="1" t="n">
        <v>46253</v>
      </c>
      <c r="F288" t="inlineStr">
        <is>
          <t>BLEKINGE LÄN</t>
        </is>
      </c>
      <c r="G288" t="inlineStr">
        <is>
          <t>RONNEBY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45950</v>
      </c>
      <c r="E289" s="1" t="n">
        <v>46253</v>
      </c>
      <c r="F289" t="inlineStr">
        <is>
          <t>BLEKINGE LÄN</t>
        </is>
      </c>
      <c r="G289" t="inlineStr">
        <is>
          <t>RONNEBY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46253</v>
      </c>
      <c r="F290" t="inlineStr">
        <is>
          <t>BLEKINGE LÄN</t>
        </is>
      </c>
      <c r="G290" t="inlineStr">
        <is>
          <t>RONNEBY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46253</v>
      </c>
      <c r="F291" t="inlineStr">
        <is>
          <t>BLEKINGE LÄN</t>
        </is>
      </c>
      <c r="G291" t="inlineStr">
        <is>
          <t>RONNEBY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45193</v>
      </c>
      <c r="E292" s="1" t="n">
        <v>46253</v>
      </c>
      <c r="F292" t="inlineStr">
        <is>
          <t>BLEKINGE LÄN</t>
        </is>
      </c>
      <c r="G292" t="inlineStr">
        <is>
          <t>RONNEBY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46253</v>
      </c>
      <c r="F293" t="inlineStr">
        <is>
          <t>BLEKINGE LÄN</t>
        </is>
      </c>
      <c r="G293" t="inlineStr">
        <is>
          <t>RONNEBY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46253</v>
      </c>
      <c r="F294" t="inlineStr">
        <is>
          <t>BLEKINGE LÄN</t>
        </is>
      </c>
      <c r="G294" t="inlineStr">
        <is>
          <t>RONNEBY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44748</v>
      </c>
      <c r="E295" s="1" t="n">
        <v>46253</v>
      </c>
      <c r="F295" t="inlineStr">
        <is>
          <t>BLEKINGE LÄN</t>
        </is>
      </c>
      <c r="G295" t="inlineStr">
        <is>
          <t>RONNEBY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45743</v>
      </c>
      <c r="E296" s="1" t="n">
        <v>46253</v>
      </c>
      <c r="F296" t="inlineStr">
        <is>
          <t>BLEKINGE LÄN</t>
        </is>
      </c>
      <c r="G296" t="inlineStr">
        <is>
          <t>RONNEBY</t>
        </is>
      </c>
      <c r="H296" t="inlineStr">
        <is>
          <t>Kommuner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51569-2025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46253</v>
      </c>
      <c r="F297" t="inlineStr">
        <is>
          <t>BLEKINGE LÄN</t>
        </is>
      </c>
      <c r="G297" t="inlineStr">
        <is>
          <t>RONNEBY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18329-2026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46253</v>
      </c>
      <c r="F298" t="inlineStr">
        <is>
          <t>BLEKINGE LÄN</t>
        </is>
      </c>
      <c r="G298" t="inlineStr">
        <is>
          <t>RONNEBY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46253</v>
      </c>
      <c r="F299" t="inlineStr">
        <is>
          <t>BLEKINGE LÄN</t>
        </is>
      </c>
      <c r="G299" t="inlineStr">
        <is>
          <t>RONNEBY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18305-2026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46253</v>
      </c>
      <c r="F300" t="inlineStr">
        <is>
          <t>BLEKINGE LÄN</t>
        </is>
      </c>
      <c r="G300" t="inlineStr">
        <is>
          <t>RONNEBY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46253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62278-2022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44916</v>
      </c>
      <c r="E302" s="1" t="n">
        <v>46253</v>
      </c>
      <c r="F302" t="inlineStr">
        <is>
          <t>BLEKINGE LÄN</t>
        </is>
      </c>
      <c r="G302" t="inlineStr">
        <is>
          <t>RONNEBY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50792-2022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44862</v>
      </c>
      <c r="E303" s="1" t="n">
        <v>46253</v>
      </c>
      <c r="F303" t="inlineStr">
        <is>
          <t>BLEKINGE LÄN</t>
        </is>
      </c>
      <c r="G303" t="inlineStr">
        <is>
          <t>RONNEBY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46253</v>
      </c>
      <c r="F304" t="inlineStr">
        <is>
          <t>BLEKINGE LÄN</t>
        </is>
      </c>
      <c r="G304" t="inlineStr">
        <is>
          <t>RONNEBY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46253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46253</v>
      </c>
      <c r="F306" t="inlineStr">
        <is>
          <t>BLEKINGE LÄN</t>
        </is>
      </c>
      <c r="G306" t="inlineStr">
        <is>
          <t>RONNEBY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46253</v>
      </c>
      <c r="F307" t="inlineStr">
        <is>
          <t>BLEKINGE LÄN</t>
        </is>
      </c>
      <c r="G307" t="inlineStr">
        <is>
          <t>RONNEBY</t>
        </is>
      </c>
      <c r="I307" t="n">
        <v>9.6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54248-2025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45964</v>
      </c>
      <c r="E308" s="1" t="n">
        <v>46253</v>
      </c>
      <c r="F308" t="inlineStr">
        <is>
          <t>BLEKINGE LÄN</t>
        </is>
      </c>
      <c r="G308" t="inlineStr">
        <is>
          <t>RONNEBY</t>
        </is>
      </c>
      <c r="H308" t="inlineStr">
        <is>
          <t>Kommuner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45677</v>
      </c>
      <c r="E309" s="1" t="n">
        <v>46253</v>
      </c>
      <c r="F309" t="inlineStr">
        <is>
          <t>BLEKINGE LÄN</t>
        </is>
      </c>
      <c r="G309" t="inlineStr">
        <is>
          <t>RONNEBY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46253</v>
      </c>
      <c r="F310" t="inlineStr">
        <is>
          <t>BLEKINGE LÄN</t>
        </is>
      </c>
      <c r="G310" t="inlineStr">
        <is>
          <t>RONNEBY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47971-2025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46253</v>
      </c>
      <c r="F311" t="inlineStr">
        <is>
          <t>BLEKINGE LÄN</t>
        </is>
      </c>
      <c r="G311" t="inlineStr">
        <is>
          <t>RONNEBY</t>
        </is>
      </c>
      <c r="H311" t="inlineStr">
        <is>
          <t>Övriga Aktiebolag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45653</v>
      </c>
      <c r="E312" s="1" t="n">
        <v>46253</v>
      </c>
      <c r="F312" t="inlineStr">
        <is>
          <t>BLEKINGE LÄN</t>
        </is>
      </c>
      <c r="G312" t="inlineStr">
        <is>
          <t>RONNEBY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28962-2025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45821</v>
      </c>
      <c r="E313" s="1" t="n">
        <v>46253</v>
      </c>
      <c r="F313" t="inlineStr">
        <is>
          <t>BLEKINGE LÄN</t>
        </is>
      </c>
      <c r="G313" t="inlineStr">
        <is>
          <t>RONNEBY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45673</v>
      </c>
      <c r="E314" s="1" t="n">
        <v>46253</v>
      </c>
      <c r="F314" t="inlineStr">
        <is>
          <t>BLEKINGE LÄN</t>
        </is>
      </c>
      <c r="G314" t="inlineStr">
        <is>
          <t>RONNEBY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54532-2022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44882</v>
      </c>
      <c r="E315" s="1" t="n">
        <v>46253</v>
      </c>
      <c r="F315" t="inlineStr">
        <is>
          <t>BLEKINGE LÄN</t>
        </is>
      </c>
      <c r="G315" t="inlineStr">
        <is>
          <t>RONNEBY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45903</v>
      </c>
      <c r="E316" s="1" t="n">
        <v>46253</v>
      </c>
      <c r="F316" t="inlineStr">
        <is>
          <t>BLEKINGE LÄN</t>
        </is>
      </c>
      <c r="G316" t="inlineStr">
        <is>
          <t>RONNEBY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46253</v>
      </c>
      <c r="F317" t="inlineStr">
        <is>
          <t>BLEKINGE LÄN</t>
        </is>
      </c>
      <c r="G317" t="inlineStr">
        <is>
          <t>RONNEBY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45560</v>
      </c>
      <c r="E318" s="1" t="n">
        <v>46253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45440</v>
      </c>
      <c r="E319" s="1" t="n">
        <v>46253</v>
      </c>
      <c r="F319" t="inlineStr">
        <is>
          <t>BLEKINGE LÄN</t>
        </is>
      </c>
      <c r="G319" t="inlineStr">
        <is>
          <t>RONNEBY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53366-2021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44466</v>
      </c>
      <c r="E320" s="1" t="n">
        <v>46253</v>
      </c>
      <c r="F320" t="inlineStr">
        <is>
          <t>BLEKINGE LÄN</t>
        </is>
      </c>
      <c r="G320" t="inlineStr">
        <is>
          <t>RONNEBY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45625</v>
      </c>
      <c r="E321" s="1" t="n">
        <v>46253</v>
      </c>
      <c r="F321" t="inlineStr">
        <is>
          <t>BLEKINGE LÄN</t>
        </is>
      </c>
      <c r="G321" t="inlineStr">
        <is>
          <t>RONNEBY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44992</v>
      </c>
      <c r="E322" s="1" t="n">
        <v>46253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45266</v>
      </c>
      <c r="E323" s="1" t="n">
        <v>46253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46253</v>
      </c>
      <c r="F324" t="inlineStr">
        <is>
          <t>BLEKINGE LÄN</t>
        </is>
      </c>
      <c r="G324" t="inlineStr">
        <is>
          <t>RONNEBY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62669-2022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44925</v>
      </c>
      <c r="E325" s="1" t="n">
        <v>46253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46253</v>
      </c>
      <c r="F326" t="inlineStr">
        <is>
          <t>BLEKINGE LÄN</t>
        </is>
      </c>
      <c r="G326" t="inlineStr">
        <is>
          <t>RONNEBY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46253</v>
      </c>
      <c r="F327" t="inlineStr">
        <is>
          <t>BLEKINGE LÄN</t>
        </is>
      </c>
      <c r="G327" t="inlineStr">
        <is>
          <t>RONNEBY</t>
        </is>
      </c>
      <c r="I327" t="n">
        <v>12.6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45196</v>
      </c>
      <c r="E328" s="1" t="n">
        <v>46253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46253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50201-2024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45600</v>
      </c>
      <c r="E330" s="1" t="n">
        <v>46253</v>
      </c>
      <c r="F330" t="inlineStr">
        <is>
          <t>BLEKINGE LÄN</t>
        </is>
      </c>
      <c r="G330" t="inlineStr">
        <is>
          <t>RONNEBY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56139-2025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46253</v>
      </c>
      <c r="F331" t="inlineStr">
        <is>
          <t>BLEKINGE LÄN</t>
        </is>
      </c>
      <c r="G331" t="inlineStr">
        <is>
          <t>RONNEBY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46253</v>
      </c>
      <c r="F332" t="inlineStr">
        <is>
          <t>BLEKINGE LÄN</t>
        </is>
      </c>
      <c r="G332" t="inlineStr">
        <is>
          <t>RONNEBY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44966</v>
      </c>
      <c r="E333" s="1" t="n">
        <v>46253</v>
      </c>
      <c r="F333" t="inlineStr">
        <is>
          <t>BLEKINGE LÄN</t>
        </is>
      </c>
      <c r="G333" t="inlineStr">
        <is>
          <t>RONNEBY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46253</v>
      </c>
      <c r="F334" t="inlineStr">
        <is>
          <t>BLEKINGE LÄN</t>
        </is>
      </c>
      <c r="G334" t="inlineStr">
        <is>
          <t>RONNEBY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46253</v>
      </c>
      <c r="F335" t="inlineStr">
        <is>
          <t>BLEKINGE LÄN</t>
        </is>
      </c>
      <c r="G335" t="inlineStr">
        <is>
          <t>RONNEBY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45436</v>
      </c>
      <c r="E336" s="1" t="n">
        <v>46253</v>
      </c>
      <c r="F336" t="inlineStr">
        <is>
          <t>BLEKINGE LÄN</t>
        </is>
      </c>
      <c r="G336" t="inlineStr">
        <is>
          <t>RONNEBY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46253</v>
      </c>
      <c r="F337" t="inlineStr">
        <is>
          <t>BLEKINGE LÄN</t>
        </is>
      </c>
      <c r="G337" t="inlineStr">
        <is>
          <t>RONNEBY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46253</v>
      </c>
      <c r="F338" t="inlineStr">
        <is>
          <t>BLEKINGE LÄN</t>
        </is>
      </c>
      <c r="G338" t="inlineStr">
        <is>
          <t>RONNEBY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46253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46253</v>
      </c>
      <c r="F340" t="inlineStr">
        <is>
          <t>BLEKINGE LÄN</t>
        </is>
      </c>
      <c r="G340" t="inlineStr">
        <is>
          <t>RONNEBY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45303</v>
      </c>
      <c r="E341" s="1" t="n">
        <v>46253</v>
      </c>
      <c r="F341" t="inlineStr">
        <is>
          <t>BLEKINGE LÄN</t>
        </is>
      </c>
      <c r="G341" t="inlineStr">
        <is>
          <t>RONNEBY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45303</v>
      </c>
      <c r="E342" s="1" t="n">
        <v>46253</v>
      </c>
      <c r="F342" t="inlineStr">
        <is>
          <t>BLEKINGE LÄN</t>
        </is>
      </c>
      <c r="G342" t="inlineStr">
        <is>
          <t>RONNEBY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45891</v>
      </c>
      <c r="E343" s="1" t="n">
        <v>46253</v>
      </c>
      <c r="F343" t="inlineStr">
        <is>
          <t>BLEKINGE LÄN</t>
        </is>
      </c>
      <c r="G343" t="inlineStr">
        <is>
          <t>RONNEBY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46253</v>
      </c>
      <c r="F344" t="inlineStr">
        <is>
          <t>BLEKINGE LÄN</t>
        </is>
      </c>
      <c r="G344" t="inlineStr">
        <is>
          <t>RONNEBY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45407-2023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45194</v>
      </c>
      <c r="E345" s="1" t="n">
        <v>46253</v>
      </c>
      <c r="F345" t="inlineStr">
        <is>
          <t>BLEKINGE LÄN</t>
        </is>
      </c>
      <c r="G345" t="inlineStr">
        <is>
          <t>RONNEBY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33558-2023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46253</v>
      </c>
      <c r="F346" t="inlineStr">
        <is>
          <t>BLEKINGE LÄN</t>
        </is>
      </c>
      <c r="G346" t="inlineStr">
        <is>
          <t>RONNEBY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46253</v>
      </c>
      <c r="F347" t="inlineStr">
        <is>
          <t>BLEKINGE LÄN</t>
        </is>
      </c>
      <c r="G347" t="inlineStr">
        <is>
          <t>RONNEBY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6660-2024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45341</v>
      </c>
      <c r="E348" s="1" t="n">
        <v>46253</v>
      </c>
      <c r="F348" t="inlineStr">
        <is>
          <t>BLEKINGE LÄN</t>
        </is>
      </c>
      <c r="G348" t="inlineStr">
        <is>
          <t>RONNEBY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46253</v>
      </c>
      <c r="F349" t="inlineStr">
        <is>
          <t>BLEKINGE LÄN</t>
        </is>
      </c>
      <c r="G349" t="inlineStr">
        <is>
          <t>RONNEBY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45168</v>
      </c>
      <c r="E350" s="1" t="n">
        <v>46253</v>
      </c>
      <c r="F350" t="inlineStr">
        <is>
          <t>BLEKINGE LÄN</t>
        </is>
      </c>
      <c r="G350" t="inlineStr">
        <is>
          <t>RONNEBY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45342</v>
      </c>
      <c r="E351" s="1" t="n">
        <v>46253</v>
      </c>
      <c r="F351" t="inlineStr">
        <is>
          <t>BLEKINGE LÄN</t>
        </is>
      </c>
      <c r="G351" t="inlineStr">
        <is>
          <t>RONNEBY</t>
        </is>
      </c>
      <c r="I351" t="n">
        <v>15.2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58648-2025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45986</v>
      </c>
      <c r="E352" s="1" t="n">
        <v>46253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46253</v>
      </c>
      <c r="F353" t="inlineStr">
        <is>
          <t>BLEKINGE LÄN</t>
        </is>
      </c>
      <c r="G353" t="inlineStr">
        <is>
          <t>RONNEBY</t>
        </is>
      </c>
      <c r="I353" t="n">
        <v>11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45715</v>
      </c>
      <c r="E354" s="1" t="n">
        <v>46253</v>
      </c>
      <c r="F354" t="inlineStr">
        <is>
          <t>BLEKINGE LÄN</t>
        </is>
      </c>
      <c r="G354" t="inlineStr">
        <is>
          <t>RONNEBY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46253</v>
      </c>
      <c r="F355" t="inlineStr">
        <is>
          <t>BLEKINGE LÄN</t>
        </is>
      </c>
      <c r="G355" t="inlineStr">
        <is>
          <t>RONNEBY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46062</v>
      </c>
      <c r="E356" s="1" t="n">
        <v>46253</v>
      </c>
      <c r="F356" t="inlineStr">
        <is>
          <t>BLEKINGE LÄN</t>
        </is>
      </c>
      <c r="G356" t="inlineStr">
        <is>
          <t>RONNEBY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46253</v>
      </c>
      <c r="F357" t="inlineStr">
        <is>
          <t>BLEKINGE LÄN</t>
        </is>
      </c>
      <c r="G357" t="inlineStr">
        <is>
          <t>RONNEBY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31589-2023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46253</v>
      </c>
      <c r="F358" t="inlineStr">
        <is>
          <t>BLEKINGE LÄN</t>
        </is>
      </c>
      <c r="G358" t="inlineStr">
        <is>
          <t>RONNEBY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45110</v>
      </c>
      <c r="E359" s="1" t="n">
        <v>46253</v>
      </c>
      <c r="F359" t="inlineStr">
        <is>
          <t>BLEKINGE LÄN</t>
        </is>
      </c>
      <c r="G359" t="inlineStr">
        <is>
          <t>RONNEBY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35589-2023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46253</v>
      </c>
      <c r="F360" t="inlineStr">
        <is>
          <t>BLEKINGE LÄN</t>
        </is>
      </c>
      <c r="G360" t="inlineStr">
        <is>
          <t>RONNEBY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46253</v>
      </c>
      <c r="F361" t="inlineStr">
        <is>
          <t>BLEKINGE LÄN</t>
        </is>
      </c>
      <c r="G361" t="inlineStr">
        <is>
          <t>RONNEBY</t>
        </is>
      </c>
      <c r="I361" t="n">
        <v>14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46253</v>
      </c>
      <c r="F362" t="inlineStr">
        <is>
          <t>BLEKINGE LÄN</t>
        </is>
      </c>
      <c r="G362" t="inlineStr">
        <is>
          <t>RONNEBY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46253</v>
      </c>
      <c r="F363" t="inlineStr">
        <is>
          <t>BLEKINGE LÄN</t>
        </is>
      </c>
      <c r="G363" t="inlineStr">
        <is>
          <t>RONNEBY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45602</v>
      </c>
      <c r="E364" s="1" t="n">
        <v>46253</v>
      </c>
      <c r="F364" t="inlineStr">
        <is>
          <t>BLEKINGE LÄN</t>
        </is>
      </c>
      <c r="G364" t="inlineStr">
        <is>
          <t>RONNEBY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46253</v>
      </c>
      <c r="F365" t="inlineStr">
        <is>
          <t>BLEKINGE LÄN</t>
        </is>
      </c>
      <c r="G365" t="inlineStr">
        <is>
          <t>RONNEBY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46253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45855</v>
      </c>
      <c r="E367" s="1" t="n">
        <v>46253</v>
      </c>
      <c r="F367" t="inlineStr">
        <is>
          <t>BLEKINGE LÄN</t>
        </is>
      </c>
      <c r="G367" t="inlineStr">
        <is>
          <t>RONNEBY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45062</v>
      </c>
      <c r="E368" s="1" t="n">
        <v>46253</v>
      </c>
      <c r="F368" t="inlineStr">
        <is>
          <t>BLEKINGE LÄN</t>
        </is>
      </c>
      <c r="G368" t="inlineStr">
        <is>
          <t>RONNEBY</t>
        </is>
      </c>
      <c r="H368" t="inlineStr">
        <is>
          <t>Kommuner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60348-2025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46253</v>
      </c>
      <c r="F369" t="inlineStr">
        <is>
          <t>BLEKINGE LÄN</t>
        </is>
      </c>
      <c r="G369" t="inlineStr">
        <is>
          <t>RONNEBY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44753</v>
      </c>
      <c r="E370" s="1" t="n">
        <v>46253</v>
      </c>
      <c r="F370" t="inlineStr">
        <is>
          <t>BLEKINGE LÄN</t>
        </is>
      </c>
      <c r="G370" t="inlineStr">
        <is>
          <t>RONNEBY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60360-2025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46253</v>
      </c>
      <c r="F371" t="inlineStr">
        <is>
          <t>BLEKINGE LÄN</t>
        </is>
      </c>
      <c r="G371" t="inlineStr">
        <is>
          <t>RONNEBY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45002</v>
      </c>
      <c r="E372" s="1" t="n">
        <v>46253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61154-2025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46000</v>
      </c>
      <c r="E373" s="1" t="n">
        <v>46253</v>
      </c>
      <c r="F373" t="inlineStr">
        <is>
          <t>BLEKINGE LÄN</t>
        </is>
      </c>
      <c r="G373" t="inlineStr">
        <is>
          <t>RONNEBY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45078</v>
      </c>
      <c r="E374" s="1" t="n">
        <v>46253</v>
      </c>
      <c r="F374" t="inlineStr">
        <is>
          <t>BLEKINGE LÄN</t>
        </is>
      </c>
      <c r="G374" t="inlineStr">
        <is>
          <t>RONNEBY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19438-2024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45429</v>
      </c>
      <c r="E375" s="1" t="n">
        <v>46253</v>
      </c>
      <c r="F375" t="inlineStr">
        <is>
          <t>BLEKINGE LÄN</t>
        </is>
      </c>
      <c r="G375" t="inlineStr">
        <is>
          <t>RONNEBY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36368-2023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45152</v>
      </c>
      <c r="E376" s="1" t="n">
        <v>46253</v>
      </c>
      <c r="F376" t="inlineStr">
        <is>
          <t>BLEKINGE LÄN</t>
        </is>
      </c>
      <c r="G376" t="inlineStr">
        <is>
          <t>RONNEBY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45581</v>
      </c>
      <c r="E377" s="1" t="n">
        <v>46253</v>
      </c>
      <c r="F377" t="inlineStr">
        <is>
          <t>BLEKINGE LÄN</t>
        </is>
      </c>
      <c r="G377" t="inlineStr">
        <is>
          <t>RONNEBY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62465-2025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46007</v>
      </c>
      <c r="E378" s="1" t="n">
        <v>46253</v>
      </c>
      <c r="F378" t="inlineStr">
        <is>
          <t>BLEKINGE LÄN</t>
        </is>
      </c>
      <c r="G378" t="inlineStr">
        <is>
          <t>RONNEBY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46253</v>
      </c>
      <c r="F379" t="inlineStr">
        <is>
          <t>BLEKINGE LÄN</t>
        </is>
      </c>
      <c r="G379" t="inlineStr">
        <is>
          <t>RONNEBY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59840-2021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44494</v>
      </c>
      <c r="E380" s="1" t="n">
        <v>46253</v>
      </c>
      <c r="F380" t="inlineStr">
        <is>
          <t>BLEKINGE LÄN</t>
        </is>
      </c>
      <c r="G380" t="inlineStr">
        <is>
          <t>RONNEBY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46253</v>
      </c>
      <c r="F381" t="inlineStr">
        <is>
          <t>BLEKINGE LÄN</t>
        </is>
      </c>
      <c r="G381" t="inlineStr">
        <is>
          <t>RONNEBY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46253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10.9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45460</v>
      </c>
      <c r="E383" s="1" t="n">
        <v>46253</v>
      </c>
      <c r="F383" t="inlineStr">
        <is>
          <t>BLEKINGE LÄN</t>
        </is>
      </c>
      <c r="G383" t="inlineStr">
        <is>
          <t>RONNEBY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46253</v>
      </c>
      <c r="F384" t="inlineStr">
        <is>
          <t>BLEKINGE LÄN</t>
        </is>
      </c>
      <c r="G384" t="inlineStr">
        <is>
          <t>RONNEBY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9959-2025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46253</v>
      </c>
      <c r="F385" t="inlineStr">
        <is>
          <t>BLEKINGE LÄN</t>
        </is>
      </c>
      <c r="G385" t="inlineStr">
        <is>
          <t>RONNEBY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45115</v>
      </c>
      <c r="E386" s="1" t="n">
        <v>46253</v>
      </c>
      <c r="F386" t="inlineStr">
        <is>
          <t>BLEKINGE LÄN</t>
        </is>
      </c>
      <c r="G386" t="inlineStr">
        <is>
          <t>RONNEBY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46149</v>
      </c>
      <c r="E387" s="1" t="n">
        <v>46253</v>
      </c>
      <c r="F387" t="inlineStr">
        <is>
          <t>BLEKINGE LÄN</t>
        </is>
      </c>
      <c r="G387" t="inlineStr">
        <is>
          <t>RONNEBY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21709-2026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46149</v>
      </c>
      <c r="E388" s="1" t="n">
        <v>46253</v>
      </c>
      <c r="F388" t="inlineStr">
        <is>
          <t>BLEKINGE LÄN</t>
        </is>
      </c>
      <c r="G388" t="inlineStr">
        <is>
          <t>RONNEBY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45316</v>
      </c>
      <c r="E389" s="1" t="n">
        <v>46253</v>
      </c>
      <c r="F389" t="inlineStr">
        <is>
          <t>BLEKINGE LÄN</t>
        </is>
      </c>
      <c r="G389" t="inlineStr">
        <is>
          <t>RONNEBY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38341-2024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45545</v>
      </c>
      <c r="E390" s="1" t="n">
        <v>46253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45670</v>
      </c>
      <c r="E391" s="1" t="n">
        <v>46253</v>
      </c>
      <c r="F391" t="inlineStr">
        <is>
          <t>BLEKINGE LÄN</t>
        </is>
      </c>
      <c r="G391" t="inlineStr">
        <is>
          <t>RONNEBY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47775-2024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46253</v>
      </c>
      <c r="F392" t="inlineStr">
        <is>
          <t>BLEKINGE LÄN</t>
        </is>
      </c>
      <c r="G392" t="inlineStr">
        <is>
          <t>RONNEBY</t>
        </is>
      </c>
      <c r="H392" t="inlineStr">
        <is>
          <t>Kommuner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36202-2024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45534</v>
      </c>
      <c r="E393" s="1" t="n">
        <v>46253</v>
      </c>
      <c r="F393" t="inlineStr">
        <is>
          <t>BLEKINGE LÄN</t>
        </is>
      </c>
      <c r="G393" t="inlineStr">
        <is>
          <t>RONNEBY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45775</v>
      </c>
      <c r="E394" s="1" t="n">
        <v>46253</v>
      </c>
      <c r="F394" t="inlineStr">
        <is>
          <t>BLEKINGE LÄN</t>
        </is>
      </c>
      <c r="G394" t="inlineStr">
        <is>
          <t>RONNEBY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45118</v>
      </c>
      <c r="E395" s="1" t="n">
        <v>46253</v>
      </c>
      <c r="F395" t="inlineStr">
        <is>
          <t>BLEKINGE LÄN</t>
        </is>
      </c>
      <c r="G395" t="inlineStr">
        <is>
          <t>RONNEBY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45600</v>
      </c>
      <c r="E396" s="1" t="n">
        <v>46253</v>
      </c>
      <c r="F396" t="inlineStr">
        <is>
          <t>BLEKINGE LÄN</t>
        </is>
      </c>
      <c r="G396" t="inlineStr">
        <is>
          <t>RONNEBY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46253</v>
      </c>
      <c r="F397" t="inlineStr">
        <is>
          <t>BLEKINGE LÄN</t>
        </is>
      </c>
      <c r="G397" t="inlineStr">
        <is>
          <t>RONNEBY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46253</v>
      </c>
      <c r="F398" t="inlineStr">
        <is>
          <t>BLEKINGE LÄN</t>
        </is>
      </c>
      <c r="G398" t="inlineStr">
        <is>
          <t>RONNEBY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46253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41054-2023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46253</v>
      </c>
      <c r="F400" t="inlineStr">
        <is>
          <t>BLEKINGE LÄN</t>
        </is>
      </c>
      <c r="G400" t="inlineStr">
        <is>
          <t>RONNEBY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46253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33535-2025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45841</v>
      </c>
      <c r="E402" s="1" t="n">
        <v>46253</v>
      </c>
      <c r="F402" t="inlineStr">
        <is>
          <t>BLEKINGE LÄN</t>
        </is>
      </c>
      <c r="G402" t="inlineStr">
        <is>
          <t>RONNEBY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46253</v>
      </c>
      <c r="F403" t="inlineStr">
        <is>
          <t>BLEKINGE LÄN</t>
        </is>
      </c>
      <c r="G403" t="inlineStr">
        <is>
          <t>RONNEBY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46253</v>
      </c>
      <c r="F404" t="inlineStr">
        <is>
          <t>BLEKINGE LÄN</t>
        </is>
      </c>
      <c r="G404" t="inlineStr">
        <is>
          <t>RONNEBY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46253</v>
      </c>
      <c r="F405" t="inlineStr">
        <is>
          <t>BLEKINGE LÄN</t>
        </is>
      </c>
      <c r="G405" t="inlineStr">
        <is>
          <t>RONNEBY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46164</v>
      </c>
      <c r="E406" s="1" t="n">
        <v>46253</v>
      </c>
      <c r="F406" t="inlineStr">
        <is>
          <t>BLEKINGE LÄN</t>
        </is>
      </c>
      <c r="G406" t="inlineStr">
        <is>
          <t>RONNEBY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46253</v>
      </c>
      <c r="F407" t="inlineStr">
        <is>
          <t>BLEKINGE LÄN</t>
        </is>
      </c>
      <c r="G407" t="inlineStr">
        <is>
          <t>RONNEBY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26644-2022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46253</v>
      </c>
      <c r="F408" t="inlineStr">
        <is>
          <t>BLEKINGE LÄN</t>
        </is>
      </c>
      <c r="G408" t="inlineStr">
        <is>
          <t>RONNEBY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46253</v>
      </c>
      <c r="F409" t="inlineStr">
        <is>
          <t>BLEKINGE LÄN</t>
        </is>
      </c>
      <c r="G409" t="inlineStr">
        <is>
          <t>RONNEBY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46253</v>
      </c>
      <c r="F410" t="inlineStr">
        <is>
          <t>BLEKINGE LÄN</t>
        </is>
      </c>
      <c r="G410" t="inlineStr">
        <is>
          <t>RONNEBY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7347-2022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44606</v>
      </c>
      <c r="E411" s="1" t="n">
        <v>46253</v>
      </c>
      <c r="F411" t="inlineStr">
        <is>
          <t>BLEKINGE LÄN</t>
        </is>
      </c>
      <c r="G411" t="inlineStr">
        <is>
          <t>RONNEBY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41875-2022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44829</v>
      </c>
      <c r="E412" s="1" t="n">
        <v>46253</v>
      </c>
      <c r="F412" t="inlineStr">
        <is>
          <t>BLEKINGE LÄN</t>
        </is>
      </c>
      <c r="G412" t="inlineStr">
        <is>
          <t>RONNEBY</t>
        </is>
      </c>
      <c r="I412" t="n">
        <v>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30507-2022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44762</v>
      </c>
      <c r="E413" s="1" t="n">
        <v>46253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44658</v>
      </c>
      <c r="E414" s="1" t="n">
        <v>46253</v>
      </c>
      <c r="F414" t="inlineStr">
        <is>
          <t>BLEKINGE LÄN</t>
        </is>
      </c>
      <c r="G414" t="inlineStr">
        <is>
          <t>RONNEBY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45646</v>
      </c>
      <c r="E415" s="1" t="n">
        <v>46253</v>
      </c>
      <c r="F415" t="inlineStr">
        <is>
          <t>BLEKINGE LÄN</t>
        </is>
      </c>
      <c r="G415" t="inlineStr">
        <is>
          <t>RONNEBY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46253</v>
      </c>
      <c r="F416" t="inlineStr">
        <is>
          <t>BLEKINGE LÄN</t>
        </is>
      </c>
      <c r="G416" t="inlineStr">
        <is>
          <t>RONNEBY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44565</v>
      </c>
      <c r="E417" s="1" t="n">
        <v>46253</v>
      </c>
      <c r="F417" t="inlineStr">
        <is>
          <t>BLEKINGE LÄN</t>
        </is>
      </c>
      <c r="G417" t="inlineStr">
        <is>
          <t>RONNEBY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46216</v>
      </c>
      <c r="E418" s="1" t="n">
        <v>46253</v>
      </c>
      <c r="F418" t="inlineStr">
        <is>
          <t>BLEKINGE LÄN</t>
        </is>
      </c>
      <c r="G418" t="inlineStr">
        <is>
          <t>RONNEBY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45691</v>
      </c>
      <c r="E419" s="1" t="n">
        <v>46253</v>
      </c>
      <c r="F419" t="inlineStr">
        <is>
          <t>BLEKINGE LÄN</t>
        </is>
      </c>
      <c r="G419" t="inlineStr">
        <is>
          <t>RONNEBY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46253</v>
      </c>
      <c r="F420" t="inlineStr">
        <is>
          <t>BLEKINGE LÄN</t>
        </is>
      </c>
      <c r="G420" t="inlineStr">
        <is>
          <t>RONNEBY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6289-2022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44600</v>
      </c>
      <c r="E421" s="1" t="n">
        <v>46253</v>
      </c>
      <c r="F421" t="inlineStr">
        <is>
          <t>BLEKINGE LÄN</t>
        </is>
      </c>
      <c r="G421" t="inlineStr">
        <is>
          <t>RONNEBY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24785-2026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46171</v>
      </c>
      <c r="E422" s="1" t="n">
        <v>46253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45440</v>
      </c>
      <c r="E423" s="1" t="n">
        <v>46253</v>
      </c>
      <c r="F423" t="inlineStr">
        <is>
          <t>BLEKINGE LÄN</t>
        </is>
      </c>
      <c r="G423" t="inlineStr">
        <is>
          <t>RONNEBY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19606-2024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46253</v>
      </c>
      <c r="F424" t="inlineStr">
        <is>
          <t>BLEKINGE LÄN</t>
        </is>
      </c>
      <c r="G424" t="inlineStr">
        <is>
          <t>RONNEBY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45428</v>
      </c>
      <c r="E425" s="1" t="n">
        <v>46253</v>
      </c>
      <c r="F425" t="inlineStr">
        <is>
          <t>BLEKINGE LÄN</t>
        </is>
      </c>
      <c r="G425" t="inlineStr">
        <is>
          <t>RONNEBY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46253</v>
      </c>
      <c r="F426" t="inlineStr">
        <is>
          <t>BLEKINGE LÄN</t>
        </is>
      </c>
      <c r="G426" t="inlineStr">
        <is>
          <t>RONNEBY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19610-2024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45432</v>
      </c>
      <c r="E427" s="1" t="n">
        <v>46253</v>
      </c>
      <c r="F427" t="inlineStr">
        <is>
          <t>BLEKINGE LÄN</t>
        </is>
      </c>
      <c r="G427" t="inlineStr">
        <is>
          <t>RONNEBY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46253</v>
      </c>
      <c r="F428" t="inlineStr">
        <is>
          <t>BLEKINGE LÄN</t>
        </is>
      </c>
      <c r="G428" t="inlineStr">
        <is>
          <t>RONNEBY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46253</v>
      </c>
      <c r="F429" t="inlineStr">
        <is>
          <t>BLEKINGE LÄN</t>
        </is>
      </c>
      <c r="G429" t="inlineStr">
        <is>
          <t>RONNEBY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44586</v>
      </c>
      <c r="E430" s="1" t="n">
        <v>46253</v>
      </c>
      <c r="F430" t="inlineStr">
        <is>
          <t>BLEKINGE LÄN</t>
        </is>
      </c>
      <c r="G430" t="inlineStr">
        <is>
          <t>RONNEBY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46212</v>
      </c>
      <c r="E431" s="1" t="n">
        <v>46253</v>
      </c>
      <c r="F431" t="inlineStr">
        <is>
          <t>BLEKINGE LÄN</t>
        </is>
      </c>
      <c r="G431" t="inlineStr">
        <is>
          <t>RONNEBY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46253</v>
      </c>
      <c r="F432" t="inlineStr">
        <is>
          <t>BLEKINGE LÄN</t>
        </is>
      </c>
      <c r="G432" t="inlineStr">
        <is>
          <t>RONNEBY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44753</v>
      </c>
      <c r="E433" s="1" t="n">
        <v>46253</v>
      </c>
      <c r="F433" t="inlineStr">
        <is>
          <t>BLEKINGE LÄN</t>
        </is>
      </c>
      <c r="G433" t="inlineStr">
        <is>
          <t>RONNEBY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55079-2023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45237</v>
      </c>
      <c r="E434" s="1" t="n">
        <v>46253</v>
      </c>
      <c r="F434" t="inlineStr">
        <is>
          <t>BLEKINGE LÄN</t>
        </is>
      </c>
      <c r="G434" t="inlineStr">
        <is>
          <t>RONNEBY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46253</v>
      </c>
      <c r="F435" t="inlineStr">
        <is>
          <t>BLEKINGE LÄN</t>
        </is>
      </c>
      <c r="G435" t="inlineStr">
        <is>
          <t>RONNEBY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25077-2022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44729</v>
      </c>
      <c r="E436" s="1" t="n">
        <v>46253</v>
      </c>
      <c r="F436" t="inlineStr">
        <is>
          <t>BLEKINGE LÄN</t>
        </is>
      </c>
      <c r="G436" t="inlineStr">
        <is>
          <t>RONNEBY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46253</v>
      </c>
      <c r="F437" t="inlineStr">
        <is>
          <t>BLEKINGE LÄN</t>
        </is>
      </c>
      <c r="G437" t="inlineStr">
        <is>
          <t>RONNEBY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57426-2023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46253</v>
      </c>
      <c r="F438" t="inlineStr">
        <is>
          <t>BLEKINGE LÄN</t>
        </is>
      </c>
      <c r="G438" t="inlineStr">
        <is>
          <t>RONNEBY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26111-2026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46253</v>
      </c>
      <c r="F439" t="inlineStr">
        <is>
          <t>BLEKINGE LÄN</t>
        </is>
      </c>
      <c r="G439" t="inlineStr">
        <is>
          <t>RONNEBY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46253</v>
      </c>
      <c r="F440" t="inlineStr">
        <is>
          <t>BLEKINGE LÄN</t>
        </is>
      </c>
      <c r="G440" t="inlineStr">
        <is>
          <t>RONNEBY</t>
        </is>
      </c>
      <c r="H440" t="inlineStr">
        <is>
          <t>Övriga Aktiebolag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45702</v>
      </c>
      <c r="E441" s="1" t="n">
        <v>46253</v>
      </c>
      <c r="F441" t="inlineStr">
        <is>
          <t>BLEKINGE LÄN</t>
        </is>
      </c>
      <c r="G441" t="inlineStr">
        <is>
          <t>RONNEBY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46253</v>
      </c>
      <c r="F442" t="inlineStr">
        <is>
          <t>BLEKINGE LÄN</t>
        </is>
      </c>
      <c r="G442" t="inlineStr">
        <is>
          <t>RONNEBY</t>
        </is>
      </c>
      <c r="I442" t="n">
        <v>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45724</v>
      </c>
      <c r="E443" s="1" t="n">
        <v>46253</v>
      </c>
      <c r="F443" t="inlineStr">
        <is>
          <t>BLEKINGE LÄN</t>
        </is>
      </c>
      <c r="G443" t="inlineStr">
        <is>
          <t>RONNEBY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45251</v>
      </c>
      <c r="E444" s="1" t="n">
        <v>46253</v>
      </c>
      <c r="F444" t="inlineStr">
        <is>
          <t>BLEKINGE LÄN</t>
        </is>
      </c>
      <c r="G444" t="inlineStr">
        <is>
          <t>RONNEBY</t>
        </is>
      </c>
      <c r="H444" t="inlineStr">
        <is>
          <t>Övriga Aktiebolag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39925-2022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44819</v>
      </c>
      <c r="E445" s="1" t="n">
        <v>46253</v>
      </c>
      <c r="F445" t="inlineStr">
        <is>
          <t>BLEKINGE LÄN</t>
        </is>
      </c>
      <c r="G445" t="inlineStr">
        <is>
          <t>RONNEBY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46226</v>
      </c>
      <c r="E446" s="1" t="n">
        <v>46253</v>
      </c>
      <c r="F446" t="inlineStr">
        <is>
          <t>BLEKINGE LÄN</t>
        </is>
      </c>
      <c r="G446" t="inlineStr">
        <is>
          <t>RONNEBY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46646-2023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46253</v>
      </c>
      <c r="F447" t="inlineStr">
        <is>
          <t>BLEKINGE LÄN</t>
        </is>
      </c>
      <c r="G447" t="inlineStr">
        <is>
          <t>RONNEBY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46229</v>
      </c>
      <c r="E448" s="1" t="n">
        <v>46253</v>
      </c>
      <c r="F448" t="inlineStr">
        <is>
          <t>BLEKINGE LÄN</t>
        </is>
      </c>
      <c r="G448" t="inlineStr">
        <is>
          <t>RONNEBY</t>
        </is>
      </c>
      <c r="H448" t="inlineStr">
        <is>
          <t>Övriga Aktiebolag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26706-2026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46184</v>
      </c>
      <c r="E449" s="1" t="n">
        <v>46253</v>
      </c>
      <c r="F449" t="inlineStr">
        <is>
          <t>BLEKINGE LÄN</t>
        </is>
      </c>
      <c r="G449" t="inlineStr">
        <is>
          <t>RONNEBY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26779-2026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46184</v>
      </c>
      <c r="E450" s="1" t="n">
        <v>46253</v>
      </c>
      <c r="F450" t="inlineStr">
        <is>
          <t>BLEKINGE LÄN</t>
        </is>
      </c>
      <c r="G450" t="inlineStr">
        <is>
          <t>RONNEBY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54536-2022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44882</v>
      </c>
      <c r="E451" s="1" t="n">
        <v>46253</v>
      </c>
      <c r="F451" t="inlineStr">
        <is>
          <t>BLEKINGE LÄN</t>
        </is>
      </c>
      <c r="G451" t="inlineStr">
        <is>
          <t>RONNEBY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41076-2023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46253</v>
      </c>
      <c r="F452" t="inlineStr">
        <is>
          <t>BLEKINGE LÄN</t>
        </is>
      </c>
      <c r="G452" t="inlineStr">
        <is>
          <t>RONNEBY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45299</v>
      </c>
      <c r="E453" s="1" t="n">
        <v>46253</v>
      </c>
      <c r="F453" t="inlineStr">
        <is>
          <t>BLEKINGE LÄN</t>
        </is>
      </c>
      <c r="G453" t="inlineStr">
        <is>
          <t>RONNEBY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45189</v>
      </c>
      <c r="E454" s="1" t="n">
        <v>46253</v>
      </c>
      <c r="F454" t="inlineStr">
        <is>
          <t>BLEKINGE LÄN</t>
        </is>
      </c>
      <c r="G454" t="inlineStr">
        <is>
          <t>RONNEBY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45460</v>
      </c>
      <c r="E455" s="1" t="n">
        <v>46253</v>
      </c>
      <c r="F455" t="inlineStr">
        <is>
          <t>BLEKINGE LÄN</t>
        </is>
      </c>
      <c r="G455" t="inlineStr">
        <is>
          <t>RONNEBY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45299</v>
      </c>
      <c r="E456" s="1" t="n">
        <v>46253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45302</v>
      </c>
      <c r="E457" s="1" t="n">
        <v>46253</v>
      </c>
      <c r="F457" t="inlineStr">
        <is>
          <t>BLEKINGE LÄN</t>
        </is>
      </c>
      <c r="G457" t="inlineStr">
        <is>
          <t>RONNEBY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46253</v>
      </c>
      <c r="F458" t="inlineStr">
        <is>
          <t>BLEKINGE LÄN</t>
        </is>
      </c>
      <c r="G458" t="inlineStr">
        <is>
          <t>RONNEBY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2382-2024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45310</v>
      </c>
      <c r="E459" s="1" t="n">
        <v>46253</v>
      </c>
      <c r="F459" t="inlineStr">
        <is>
          <t>BLEKINGE LÄN</t>
        </is>
      </c>
      <c r="G459" t="inlineStr">
        <is>
          <t>RONNEBY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31218-2024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45503</v>
      </c>
      <c r="E460" s="1" t="n">
        <v>46253</v>
      </c>
      <c r="F460" t="inlineStr">
        <is>
          <t>BLEKINGE LÄN</t>
        </is>
      </c>
      <c r="G460" t="inlineStr">
        <is>
          <t>RONNEBY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46253</v>
      </c>
      <c r="F461" t="inlineStr">
        <is>
          <t>BLEKINGE LÄN</t>
        </is>
      </c>
      <c r="G461" t="inlineStr">
        <is>
          <t>RONNEBY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45317-2025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45921</v>
      </c>
      <c r="E462" s="1" t="n">
        <v>46253</v>
      </c>
      <c r="F462" t="inlineStr">
        <is>
          <t>BLEKINGE LÄN</t>
        </is>
      </c>
      <c r="G462" t="inlineStr">
        <is>
          <t>RONNEBY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44987</v>
      </c>
      <c r="E463" s="1" t="n">
        <v>46253</v>
      </c>
      <c r="F463" t="inlineStr">
        <is>
          <t>BLEKINGE LÄN</t>
        </is>
      </c>
      <c r="G463" t="inlineStr">
        <is>
          <t>RONNEBY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28732-2026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46198</v>
      </c>
      <c r="E464" s="1" t="n">
        <v>46253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45201</v>
      </c>
      <c r="E465" s="1" t="n">
        <v>46253</v>
      </c>
      <c r="F465" t="inlineStr">
        <is>
          <t>BLEKINGE LÄN</t>
        </is>
      </c>
      <c r="G465" t="inlineStr">
        <is>
          <t>RONNEBY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22542-2023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45071</v>
      </c>
      <c r="E466" s="1" t="n">
        <v>46253</v>
      </c>
      <c r="F466" t="inlineStr">
        <is>
          <t>BLEKINGE LÄN</t>
        </is>
      </c>
      <c r="G466" t="inlineStr">
        <is>
          <t>RONNEBY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29648-2026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46253</v>
      </c>
      <c r="F467" t="inlineStr">
        <is>
          <t>BLEKINGE LÄN</t>
        </is>
      </c>
      <c r="G467" t="inlineStr">
        <is>
          <t>RONNEBY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49832-2024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45597</v>
      </c>
      <c r="E468" s="1" t="n">
        <v>46253</v>
      </c>
      <c r="F468" t="inlineStr">
        <is>
          <t>BLEKINGE LÄN</t>
        </is>
      </c>
      <c r="G468" t="inlineStr">
        <is>
          <t>RONNEBY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33420-2023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45128</v>
      </c>
      <c r="E469" s="1" t="n">
        <v>46253</v>
      </c>
      <c r="F469" t="inlineStr">
        <is>
          <t>BLEKINGE LÄN</t>
        </is>
      </c>
      <c r="G469" t="inlineStr">
        <is>
          <t>RONNEBY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41665-2024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45560</v>
      </c>
      <c r="E470" s="1" t="n">
        <v>46253</v>
      </c>
      <c r="F470" t="inlineStr">
        <is>
          <t>BLEKINGE LÄN</t>
        </is>
      </c>
      <c r="G470" t="inlineStr">
        <is>
          <t>RONNEBY</t>
        </is>
      </c>
      <c r="H470" t="inlineStr">
        <is>
          <t>Övriga Aktiebolag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46202</v>
      </c>
      <c r="E471" s="1" t="n">
        <v>46253</v>
      </c>
      <c r="F471" t="inlineStr">
        <is>
          <t>BLEKINGE LÄN</t>
        </is>
      </c>
      <c r="G471" t="inlineStr">
        <is>
          <t>RONNEBY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46542-2022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44848</v>
      </c>
      <c r="E472" s="1" t="n">
        <v>46253</v>
      </c>
      <c r="F472" t="inlineStr">
        <is>
          <t>BLEKINGE LÄN</t>
        </is>
      </c>
      <c r="G472" t="inlineStr">
        <is>
          <t>RONNEBY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46253</v>
      </c>
      <c r="F473" t="inlineStr">
        <is>
          <t>BLEKINGE LÄN</t>
        </is>
      </c>
      <c r="G473" t="inlineStr">
        <is>
          <t>RONNEBY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45432</v>
      </c>
      <c r="E474" s="1" t="n">
        <v>46253</v>
      </c>
      <c r="F474" t="inlineStr">
        <is>
          <t>BLEKINGE LÄN</t>
        </is>
      </c>
      <c r="G474" t="inlineStr">
        <is>
          <t>RONNEBY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44956</v>
      </c>
      <c r="E475" s="1" t="n">
        <v>46253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44987</v>
      </c>
      <c r="E476" s="1" t="n">
        <v>46253</v>
      </c>
      <c r="F476" t="inlineStr">
        <is>
          <t>BLEKINGE LÄN</t>
        </is>
      </c>
      <c r="G476" t="inlineStr">
        <is>
          <t>RONNEBY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44987</v>
      </c>
      <c r="E477" s="1" t="n">
        <v>46253</v>
      </c>
      <c r="F477" t="inlineStr">
        <is>
          <t>BLEKINGE LÄN</t>
        </is>
      </c>
      <c r="G477" t="inlineStr">
        <is>
          <t>RONNEBY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26867-2024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45470</v>
      </c>
      <c r="E478" s="1" t="n">
        <v>46253</v>
      </c>
      <c r="F478" t="inlineStr">
        <is>
          <t>BLEKINGE LÄN</t>
        </is>
      </c>
      <c r="G478" t="inlineStr">
        <is>
          <t>RONNEBY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45360</v>
      </c>
      <c r="E479" s="1" t="n">
        <v>46253</v>
      </c>
      <c r="F479" t="inlineStr">
        <is>
          <t>BLEKINGE LÄN</t>
        </is>
      </c>
      <c r="G479" t="inlineStr">
        <is>
          <t>RONNEBY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52614-2023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45225</v>
      </c>
      <c r="E480" s="1" t="n">
        <v>46253</v>
      </c>
      <c r="F480" t="inlineStr">
        <is>
          <t>BLEKINGE LÄN</t>
        </is>
      </c>
      <c r="G480" t="inlineStr">
        <is>
          <t>RONNEBY</t>
        </is>
      </c>
      <c r="I480" t="n">
        <v>10.2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45327</v>
      </c>
      <c r="E481" s="1" t="n">
        <v>46253</v>
      </c>
      <c r="F481" t="inlineStr">
        <is>
          <t>BLEKINGE LÄN</t>
        </is>
      </c>
      <c r="G481" t="inlineStr">
        <is>
          <t>RONNEBY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45354</v>
      </c>
      <c r="E482" s="1" t="n">
        <v>46253</v>
      </c>
      <c r="F482" t="inlineStr">
        <is>
          <t>BLEKINGE LÄN</t>
        </is>
      </c>
      <c r="G482" t="inlineStr">
        <is>
          <t>RONNEBY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46253</v>
      </c>
      <c r="F483" t="inlineStr">
        <is>
          <t>BLEKINGE LÄN</t>
        </is>
      </c>
      <c r="G483" t="inlineStr">
        <is>
          <t>RONNEBY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16077-2023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45027</v>
      </c>
      <c r="E484" s="1" t="n">
        <v>46253</v>
      </c>
      <c r="F484" t="inlineStr">
        <is>
          <t>BLEKINGE LÄN</t>
        </is>
      </c>
      <c r="G484" t="inlineStr">
        <is>
          <t>RONNEBY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44980</v>
      </c>
      <c r="E485" s="1" t="n">
        <v>46253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64459-2023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45280</v>
      </c>
      <c r="E486" s="1" t="n">
        <v>46253</v>
      </c>
      <c r="F486" t="inlineStr">
        <is>
          <t>BLEKINGE LÄN</t>
        </is>
      </c>
      <c r="G486" t="inlineStr">
        <is>
          <t>RONNEBY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61740-2022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44917</v>
      </c>
      <c r="E487" s="1" t="n">
        <v>46253</v>
      </c>
      <c r="F487" t="inlineStr">
        <is>
          <t>BLEKINGE LÄN</t>
        </is>
      </c>
      <c r="G487" t="inlineStr">
        <is>
          <t>RONNEBY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39466-2023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46253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46247</v>
      </c>
      <c r="E489" s="1" t="n">
        <v>46253</v>
      </c>
      <c r="F489" t="inlineStr">
        <is>
          <t>BLEKINGE LÄN</t>
        </is>
      </c>
      <c r="G489" t="inlineStr">
        <is>
          <t>RONNEBY</t>
        </is>
      </c>
      <c r="H489" t="inlineStr">
        <is>
          <t>Övriga Aktiebolag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44651</v>
      </c>
      <c r="E490" s="1" t="n">
        <v>46253</v>
      </c>
      <c r="F490" t="inlineStr">
        <is>
          <t>BLEKINGE LÄN</t>
        </is>
      </c>
      <c r="G490" t="inlineStr">
        <is>
          <t>RONNEBY</t>
        </is>
      </c>
      <c r="I490" t="n">
        <v>8.300000000000001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44966</v>
      </c>
      <c r="E491" s="1" t="n">
        <v>46253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12768-2023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45001</v>
      </c>
      <c r="E492" s="1" t="n">
        <v>46253</v>
      </c>
      <c r="F492" t="inlineStr">
        <is>
          <t>BLEKINGE LÄN</t>
        </is>
      </c>
      <c r="G492" t="inlineStr">
        <is>
          <t>RONNEBY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46253</v>
      </c>
      <c r="F493" t="inlineStr">
        <is>
          <t>BLEKINGE LÄN</t>
        </is>
      </c>
      <c r="G493" t="inlineStr">
        <is>
          <t>RONNEBY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33519-2026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46248</v>
      </c>
      <c r="E494" s="1" t="n">
        <v>46253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46253</v>
      </c>
      <c r="F495" t="inlineStr">
        <is>
          <t>BLEKINGE LÄN</t>
        </is>
      </c>
      <c r="G495" t="inlineStr">
        <is>
          <t>RONNEBY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11179-2023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44992</v>
      </c>
      <c r="E496" s="1" t="n">
        <v>46253</v>
      </c>
      <c r="F496" t="inlineStr">
        <is>
          <t>BLEKINGE LÄN</t>
        </is>
      </c>
      <c r="G496" t="inlineStr">
        <is>
          <t>RONNEBY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45006</v>
      </c>
      <c r="E497" s="1" t="n">
        <v>46253</v>
      </c>
      <c r="F497" t="inlineStr">
        <is>
          <t>BLEKINGE LÄN</t>
        </is>
      </c>
      <c r="G497" t="inlineStr">
        <is>
          <t>RONNEBY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30408-2026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46209</v>
      </c>
      <c r="E498" s="1" t="n">
        <v>46253</v>
      </c>
      <c r="F498" t="inlineStr">
        <is>
          <t>BLEKINGE LÄN</t>
        </is>
      </c>
      <c r="G498" t="inlineStr">
        <is>
          <t>RONNEBY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46252</v>
      </c>
      <c r="E499" s="1" t="n">
        <v>46253</v>
      </c>
      <c r="F499" t="inlineStr">
        <is>
          <t>BLEKINGE LÄN</t>
        </is>
      </c>
      <c r="G499" t="inlineStr">
        <is>
          <t>RONNEBY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46884-2023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45201</v>
      </c>
      <c r="E500" s="1" t="n">
        <v>46253</v>
      </c>
      <c r="F500" t="inlineStr">
        <is>
          <t>BLEKINGE LÄN</t>
        </is>
      </c>
      <c r="G500" t="inlineStr">
        <is>
          <t>RONNEBY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45195</v>
      </c>
      <c r="E501" s="1" t="n">
        <v>46253</v>
      </c>
      <c r="F501" t="inlineStr">
        <is>
          <t>BLEKINGE LÄN</t>
        </is>
      </c>
      <c r="G501" t="inlineStr">
        <is>
          <t>RONNEBY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46253</v>
      </c>
      <c r="F502" t="inlineStr">
        <is>
          <t>BLEKINGE LÄN</t>
        </is>
      </c>
      <c r="G502" t="inlineStr">
        <is>
          <t>RONNEBY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45402</v>
      </c>
      <c r="E503" s="1" t="n">
        <v>46253</v>
      </c>
      <c r="F503" t="inlineStr">
        <is>
          <t>BLEKINGE LÄN</t>
        </is>
      </c>
      <c r="G503" t="inlineStr">
        <is>
          <t>RONNEBY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45139</v>
      </c>
      <c r="E504" s="1" t="n">
        <v>46253</v>
      </c>
      <c r="F504" t="inlineStr">
        <is>
          <t>BLEKINGE LÄN</t>
        </is>
      </c>
      <c r="G504" t="inlineStr">
        <is>
          <t>RONNEBY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46253</v>
      </c>
      <c r="F505" t="inlineStr">
        <is>
          <t>BLEKINGE LÄN</t>
        </is>
      </c>
      <c r="G505" t="inlineStr">
        <is>
          <t>RONNEBY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9685-2022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44617</v>
      </c>
      <c r="E506" s="1" t="n">
        <v>46253</v>
      </c>
      <c r="F506" t="inlineStr">
        <is>
          <t>BLEKINGE LÄN</t>
        </is>
      </c>
      <c r="G506" t="inlineStr">
        <is>
          <t>RONNEBY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44987</v>
      </c>
      <c r="E507" s="1" t="n">
        <v>46253</v>
      </c>
      <c r="F507" t="inlineStr">
        <is>
          <t>BLEKINGE LÄN</t>
        </is>
      </c>
      <c r="G507" t="inlineStr">
        <is>
          <t>RONNEBY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46253</v>
      </c>
      <c r="F508" t="inlineStr">
        <is>
          <t>BLEKINGE LÄN</t>
        </is>
      </c>
      <c r="G508" t="inlineStr">
        <is>
          <t>RONNEBY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45272</v>
      </c>
      <c r="E509" s="1" t="n">
        <v>46253</v>
      </c>
      <c r="F509" t="inlineStr">
        <is>
          <t>BLEKINGE LÄN</t>
        </is>
      </c>
      <c r="G509" t="inlineStr">
        <is>
          <t>RONNEBY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46253</v>
      </c>
      <c r="F510" t="inlineStr">
        <is>
          <t>BLEKINGE LÄN</t>
        </is>
      </c>
      <c r="G510" t="inlineStr">
        <is>
          <t>RONNEBY</t>
        </is>
      </c>
      <c r="H510" t="inlineStr">
        <is>
          <t>Kommuner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30536-2023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45111</v>
      </c>
      <c r="E511" s="1" t="n">
        <v>46253</v>
      </c>
      <c r="F511" t="inlineStr">
        <is>
          <t>BLEKINGE LÄN</t>
        </is>
      </c>
      <c r="G511" t="inlineStr">
        <is>
          <t>RONNEBY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38090-2024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45545</v>
      </c>
      <c r="E512" s="1" t="n">
        <v>46253</v>
      </c>
      <c r="F512" t="inlineStr">
        <is>
          <t>BLEKINGE LÄN</t>
        </is>
      </c>
      <c r="G512" t="inlineStr">
        <is>
          <t>RONNEBY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46253</v>
      </c>
      <c r="F513" t="inlineStr">
        <is>
          <t>BLEKINGE LÄN</t>
        </is>
      </c>
      <c r="G513" t="inlineStr">
        <is>
          <t>RONNEBY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45006</v>
      </c>
      <c r="E514" s="1" t="n">
        <v>46253</v>
      </c>
      <c r="F514" t="inlineStr">
        <is>
          <t>BLEKINGE LÄN</t>
        </is>
      </c>
      <c r="G514" t="inlineStr">
        <is>
          <t>RONNEBY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24502-2023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45082</v>
      </c>
      <c r="E515" s="1" t="n">
        <v>46253</v>
      </c>
      <c r="F515" t="inlineStr">
        <is>
          <t>BLEKINGE LÄN</t>
        </is>
      </c>
      <c r="G515" t="inlineStr">
        <is>
          <t>RONNEBY</t>
        </is>
      </c>
      <c r="H515" t="inlineStr">
        <is>
          <t>Kommuner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14335-2023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45012</v>
      </c>
      <c r="E516" s="1" t="n">
        <v>46253</v>
      </c>
      <c r="F516" t="inlineStr">
        <is>
          <t>BLEKINGE LÄN</t>
        </is>
      </c>
      <c r="G516" t="inlineStr">
        <is>
          <t>RONNEBY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46253</v>
      </c>
      <c r="F517" t="inlineStr">
        <is>
          <t>BLEKINGE LÄN</t>
        </is>
      </c>
      <c r="G517" t="inlineStr">
        <is>
          <t>RONNEBY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46253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20580-2023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45057</v>
      </c>
      <c r="E519" s="1" t="n">
        <v>46253</v>
      </c>
      <c r="F519" t="inlineStr">
        <is>
          <t>BLEKINGE LÄN</t>
        </is>
      </c>
      <c r="G519" t="inlineStr">
        <is>
          <t>RONNEBY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21442-2023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46253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28975-2023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45104</v>
      </c>
      <c r="E521" s="1" t="n">
        <v>46253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41682-2024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45560</v>
      </c>
      <c r="E522" s="1" t="n">
        <v>46253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29158-2023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45105</v>
      </c>
      <c r="E523" s="1" t="n">
        <v>46253</v>
      </c>
      <c r="F523" t="inlineStr">
        <is>
          <t>BLEKINGE LÄN</t>
        </is>
      </c>
      <c r="G523" t="inlineStr">
        <is>
          <t>RONNEBY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45001</v>
      </c>
      <c r="E524" s="1" t="n">
        <v>46253</v>
      </c>
      <c r="F524" t="inlineStr">
        <is>
          <t>BLEKINGE LÄN</t>
        </is>
      </c>
      <c r="G524" t="inlineStr">
        <is>
          <t>RONNEBY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44974</v>
      </c>
      <c r="E525" s="1" t="n">
        <v>46253</v>
      </c>
      <c r="F525" t="inlineStr">
        <is>
          <t>BLEKINGE LÄN</t>
        </is>
      </c>
      <c r="G525" t="inlineStr">
        <is>
          <t>RONNEBY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50808-2024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45602</v>
      </c>
      <c r="E526" s="1" t="n">
        <v>46253</v>
      </c>
      <c r="F526" t="inlineStr">
        <is>
          <t>BLEKINGE LÄN</t>
        </is>
      </c>
      <c r="G526" t="inlineStr">
        <is>
          <t>RONNEBY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23888-2022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44722</v>
      </c>
      <c r="E527" s="1" t="n">
        <v>46253</v>
      </c>
      <c r="F527" t="inlineStr">
        <is>
          <t>BLEKINGE LÄN</t>
        </is>
      </c>
      <c r="G527" t="inlineStr">
        <is>
          <t>RONNEBY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14428-2024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45394</v>
      </c>
      <c r="E528" s="1" t="n">
        <v>46253</v>
      </c>
      <c r="F528" t="inlineStr">
        <is>
          <t>BLEKINGE LÄN</t>
        </is>
      </c>
      <c r="G528" t="inlineStr">
        <is>
          <t>RONNEBY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58552-2022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44902</v>
      </c>
      <c r="E529" s="1" t="n">
        <v>46253</v>
      </c>
      <c r="F529" t="inlineStr">
        <is>
          <t>BLEKINGE LÄN</t>
        </is>
      </c>
      <c r="G529" t="inlineStr">
        <is>
          <t>RONNEBY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11560-2024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45373</v>
      </c>
      <c r="E530" s="1" t="n">
        <v>46253</v>
      </c>
      <c r="F530" t="inlineStr">
        <is>
          <t>BLEKINGE LÄN</t>
        </is>
      </c>
      <c r="G530" t="inlineStr">
        <is>
          <t>RONNEBY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9493-2024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45359</v>
      </c>
      <c r="E531" s="1" t="n">
        <v>46253</v>
      </c>
      <c r="F531" t="inlineStr">
        <is>
          <t>BLEKINGE LÄN</t>
        </is>
      </c>
      <c r="G531" t="inlineStr">
        <is>
          <t>RONNEBY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9571-2024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45360</v>
      </c>
      <c r="E532" s="1" t="n">
        <v>46253</v>
      </c>
      <c r="F532" t="inlineStr">
        <is>
          <t>BLEKINGE LÄN</t>
        </is>
      </c>
      <c r="G532" t="inlineStr">
        <is>
          <t>RONNEBY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44754</v>
      </c>
      <c r="E533" s="1" t="n">
        <v>46253</v>
      </c>
      <c r="F533" t="inlineStr">
        <is>
          <t>BLEKINGE LÄN</t>
        </is>
      </c>
      <c r="G533" t="inlineStr">
        <is>
          <t>RONNEBY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22814-2023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46253</v>
      </c>
      <c r="F534" t="inlineStr">
        <is>
          <t>BLEKINGE LÄN</t>
        </is>
      </c>
      <c r="G534" t="inlineStr">
        <is>
          <t>RONNEBY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45053</v>
      </c>
      <c r="E535" s="1" t="n">
        <v>46253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46253</v>
      </c>
      <c r="F536" t="inlineStr">
        <is>
          <t>BLEKINGE LÄN</t>
        </is>
      </c>
      <c r="G536" t="inlineStr">
        <is>
          <t>RONNEBY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41058-2024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46253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46253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4470-2023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44956</v>
      </c>
      <c r="E539" s="1" t="n">
        <v>46253</v>
      </c>
      <c r="F539" t="inlineStr">
        <is>
          <t>BLEKINGE LÄN</t>
        </is>
      </c>
      <c r="G539" t="inlineStr">
        <is>
          <t>RONNEBY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45075</v>
      </c>
      <c r="E540" s="1" t="n">
        <v>46253</v>
      </c>
      <c r="F540" t="inlineStr">
        <is>
          <t>BLEKINGE LÄN</t>
        </is>
      </c>
      <c r="G540" t="inlineStr">
        <is>
          <t>RONNEBY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20822-2023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45058</v>
      </c>
      <c r="E541" s="1" t="n">
        <v>46253</v>
      </c>
      <c r="F541" t="inlineStr">
        <is>
          <t>BLEKINGE LÄN</t>
        </is>
      </c>
      <c r="G541" t="inlineStr">
        <is>
          <t>RONNEBY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45327</v>
      </c>
      <c r="E542" s="1" t="n">
        <v>46253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45402</v>
      </c>
      <c r="E543" s="1" t="n">
        <v>46253</v>
      </c>
      <c r="F543" t="inlineStr">
        <is>
          <t>BLEKINGE LÄN</t>
        </is>
      </c>
      <c r="G543" t="inlineStr">
        <is>
          <t>RONNEBY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46253</v>
      </c>
      <c r="F544" t="inlineStr">
        <is>
          <t>BLEKINGE LÄN</t>
        </is>
      </c>
      <c r="G544" t="inlineStr">
        <is>
          <t>RONNEBY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46253</v>
      </c>
      <c r="F545" t="inlineStr">
        <is>
          <t>BLEKINGE LÄN</t>
        </is>
      </c>
      <c r="G545" t="inlineStr">
        <is>
          <t>RONNEBY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14359-2023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46253</v>
      </c>
      <c r="F546" t="inlineStr">
        <is>
          <t>BLEKINGE LÄN</t>
        </is>
      </c>
      <c r="G546" t="inlineStr">
        <is>
          <t>RONNEBY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32162-2022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44756</v>
      </c>
      <c r="E547" s="1" t="n">
        <v>46253</v>
      </c>
      <c r="F547" t="inlineStr">
        <is>
          <t>BLEKINGE LÄN</t>
        </is>
      </c>
      <c r="G547" t="inlineStr">
        <is>
          <t>RONNEBY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29262-2023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45098</v>
      </c>
      <c r="E548" s="1" t="n">
        <v>46253</v>
      </c>
      <c r="F548" t="inlineStr">
        <is>
          <t>BLEKINGE LÄN</t>
        </is>
      </c>
      <c r="G548" t="inlineStr">
        <is>
          <t>RONNEBY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6242-2024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45337</v>
      </c>
      <c r="E549" s="1" t="n">
        <v>46253</v>
      </c>
      <c r="F549" t="inlineStr">
        <is>
          <t>BLEKINGE LÄN</t>
        </is>
      </c>
      <c r="G549" t="inlineStr">
        <is>
          <t>RONNEBY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45360</v>
      </c>
      <c r="E550" s="1" t="n">
        <v>46253</v>
      </c>
      <c r="F550" t="inlineStr">
        <is>
          <t>BLEKINGE LÄN</t>
        </is>
      </c>
      <c r="G550" t="inlineStr">
        <is>
          <t>RONNEBY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45714</v>
      </c>
      <c r="E551" s="1" t="n">
        <v>46253</v>
      </c>
      <c r="F551" t="inlineStr">
        <is>
          <t>BLEKINGE LÄN</t>
        </is>
      </c>
      <c r="G551" t="inlineStr">
        <is>
          <t>RONNEBY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12767-2023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45001</v>
      </c>
      <c r="E552" s="1" t="n">
        <v>46253</v>
      </c>
      <c r="F552" t="inlineStr">
        <is>
          <t>BLEKINGE LÄN</t>
        </is>
      </c>
      <c r="G552" t="inlineStr">
        <is>
          <t>RONNEBY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8003-2024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45350</v>
      </c>
      <c r="E553" s="1" t="n">
        <v>46253</v>
      </c>
      <c r="F553" t="inlineStr">
        <is>
          <t>BLEKINGE LÄN</t>
        </is>
      </c>
      <c r="G553" t="inlineStr">
        <is>
          <t>RONNEBY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8004-2024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45350</v>
      </c>
      <c r="E554" s="1" t="n">
        <v>46253</v>
      </c>
      <c r="F554" t="inlineStr">
        <is>
          <t>BLEKINGE LÄN</t>
        </is>
      </c>
      <c r="G554" t="inlineStr">
        <is>
          <t>RONNEBY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46253</v>
      </c>
      <c r="F555" t="inlineStr">
        <is>
          <t>BLEKINGE LÄN</t>
        </is>
      </c>
      <c r="G555" t="inlineStr">
        <is>
          <t>RONNEBY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44774</v>
      </c>
      <c r="E556" s="1" t="n">
        <v>46253</v>
      </c>
      <c r="F556" t="inlineStr">
        <is>
          <t>BLEKINGE LÄN</t>
        </is>
      </c>
      <c r="G556" t="inlineStr">
        <is>
          <t>RONNEBY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41217-2023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46253</v>
      </c>
      <c r="F557" t="inlineStr">
        <is>
          <t>BLEKINGE LÄN</t>
        </is>
      </c>
      <c r="G557" t="inlineStr">
        <is>
          <t>RONNEBY</t>
        </is>
      </c>
      <c r="I557" t="n">
        <v>9.9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42389-2021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44427</v>
      </c>
      <c r="E558" s="1" t="n">
        <v>46253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9227-2025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46253</v>
      </c>
      <c r="F559" t="inlineStr">
        <is>
          <t>BLEKINGE LÄN</t>
        </is>
      </c>
      <c r="G559" t="inlineStr">
        <is>
          <t>RONNEBY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57771-2024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45630</v>
      </c>
      <c r="E560" s="1" t="n">
        <v>46253</v>
      </c>
      <c r="F560" t="inlineStr">
        <is>
          <t>BLEKINGE LÄN</t>
        </is>
      </c>
      <c r="G560" t="inlineStr">
        <is>
          <t>RONNEBY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57773-2024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45630</v>
      </c>
      <c r="E561" s="1" t="n">
        <v>46253</v>
      </c>
      <c r="F561" t="inlineStr">
        <is>
          <t>BLEKINGE LÄN</t>
        </is>
      </c>
      <c r="G561" t="inlineStr">
        <is>
          <t>RONNEBY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47823-2024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45588</v>
      </c>
      <c r="E562" s="1" t="n">
        <v>46253</v>
      </c>
      <c r="F562" t="inlineStr">
        <is>
          <t>BLEKINGE LÄN</t>
        </is>
      </c>
      <c r="G562" t="inlineStr">
        <is>
          <t>RONNEBY</t>
        </is>
      </c>
      <c r="H562" t="inlineStr">
        <is>
          <t>Kommuner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59676-2022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44908</v>
      </c>
      <c r="E563" s="1" t="n">
        <v>46253</v>
      </c>
      <c r="F563" t="inlineStr">
        <is>
          <t>BLEKINGE LÄN</t>
        </is>
      </c>
      <c r="G563" t="inlineStr">
        <is>
          <t>RONNEBY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19594-2024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45430</v>
      </c>
      <c r="E564" s="1" t="n">
        <v>46253</v>
      </c>
      <c r="F564" t="inlineStr">
        <is>
          <t>BLEKINGE LÄN</t>
        </is>
      </c>
      <c r="G564" t="inlineStr">
        <is>
          <t>RONNEBY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16684-2024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45408</v>
      </c>
      <c r="E565" s="1" t="n">
        <v>46253</v>
      </c>
      <c r="F565" t="inlineStr">
        <is>
          <t>BLEKINGE LÄN</t>
        </is>
      </c>
      <c r="G565" t="inlineStr">
        <is>
          <t>RONNEBY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52817-2024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46253</v>
      </c>
      <c r="F566" t="inlineStr">
        <is>
          <t>BLEKINGE LÄN</t>
        </is>
      </c>
      <c r="G566" t="inlineStr">
        <is>
          <t>RONNEBY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44973</v>
      </c>
      <c r="E567" s="1" t="n">
        <v>46253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9.199999999999999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63881-2023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46253</v>
      </c>
      <c r="F568" t="inlineStr">
        <is>
          <t>BLEKINGE LÄN</t>
        </is>
      </c>
      <c r="G568" t="inlineStr">
        <is>
          <t>RONNEBY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15264-2023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45019</v>
      </c>
      <c r="E569" s="1" t="n">
        <v>46253</v>
      </c>
      <c r="F569" t="inlineStr">
        <is>
          <t>BLEKINGE LÄN</t>
        </is>
      </c>
      <c r="G569" t="inlineStr">
        <is>
          <t>RONNEBY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45036</v>
      </c>
      <c r="E570" s="1" t="n">
        <v>46253</v>
      </c>
      <c r="F570" t="inlineStr">
        <is>
          <t>BLEKINGE LÄN</t>
        </is>
      </c>
      <c r="G570" t="inlineStr">
        <is>
          <t>RONNEBY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46253</v>
      </c>
      <c r="F571" t="inlineStr">
        <is>
          <t>BLEKINGE LÄN</t>
        </is>
      </c>
      <c r="G571" t="inlineStr">
        <is>
          <t>RONNEBY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53188-2023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45229</v>
      </c>
      <c r="E572" s="1" t="n">
        <v>46253</v>
      </c>
      <c r="F572" t="inlineStr">
        <is>
          <t>BLEKINGE LÄN</t>
        </is>
      </c>
      <c r="G572" t="inlineStr">
        <is>
          <t>RONNEBY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45600</v>
      </c>
      <c r="E573" s="1" t="n">
        <v>46253</v>
      </c>
      <c r="F573" t="inlineStr">
        <is>
          <t>BLEKINGE LÄN</t>
        </is>
      </c>
      <c r="G573" t="inlineStr">
        <is>
          <t>RONNEBY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45040</v>
      </c>
      <c r="E574" s="1" t="n">
        <v>46253</v>
      </c>
      <c r="F574" t="inlineStr">
        <is>
          <t>BLEKINGE LÄN</t>
        </is>
      </c>
      <c r="G574" t="inlineStr">
        <is>
          <t>RONNEBY</t>
        </is>
      </c>
      <c r="I574" t="n">
        <v>11.5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3574-2023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44950</v>
      </c>
      <c r="E575" s="1" t="n">
        <v>46253</v>
      </c>
      <c r="F575" t="inlineStr">
        <is>
          <t>BLEKINGE LÄN</t>
        </is>
      </c>
      <c r="G575" t="inlineStr">
        <is>
          <t>RONNEBY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18681-2023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45043</v>
      </c>
      <c r="E576" s="1" t="n">
        <v>46253</v>
      </c>
      <c r="F576" t="inlineStr">
        <is>
          <t>BLEKINGE LÄN</t>
        </is>
      </c>
      <c r="G576" t="inlineStr">
        <is>
          <t>RONNEBY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45685</v>
      </c>
      <c r="E577" s="1" t="n">
        <v>46253</v>
      </c>
      <c r="F577" t="inlineStr">
        <is>
          <t>BLEKINGE LÄN</t>
        </is>
      </c>
      <c r="G577" t="inlineStr">
        <is>
          <t>RONNEBY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9057-2024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45357</v>
      </c>
      <c r="E578" s="1" t="n">
        <v>46253</v>
      </c>
      <c r="F578" t="inlineStr">
        <is>
          <t>BLEKINGE LÄN</t>
        </is>
      </c>
      <c r="G578" t="inlineStr">
        <is>
          <t>RONNEBY</t>
        </is>
      </c>
      <c r="H578" t="inlineStr">
        <is>
          <t>Kommuner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7716-2023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44972</v>
      </c>
      <c r="E579" s="1" t="n">
        <v>46253</v>
      </c>
      <c r="F579" t="inlineStr">
        <is>
          <t>BLEKINGE LÄN</t>
        </is>
      </c>
      <c r="G579" t="inlineStr">
        <is>
          <t>RONNEBY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41421-2024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45560</v>
      </c>
      <c r="E580" s="1" t="n">
        <v>46253</v>
      </c>
      <c r="F580" t="inlineStr">
        <is>
          <t>BLEKINGE LÄN</t>
        </is>
      </c>
      <c r="G580" t="inlineStr">
        <is>
          <t>RONNEBY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46253</v>
      </c>
      <c r="F581" t="inlineStr">
        <is>
          <t>BLEKINGE LÄN</t>
        </is>
      </c>
      <c r="G581" t="inlineStr">
        <is>
          <t>RONNEBY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14429-2024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45394</v>
      </c>
      <c r="E582" s="1" t="n">
        <v>46253</v>
      </c>
      <c r="F582" t="inlineStr">
        <is>
          <t>BLEKINGE LÄN</t>
        </is>
      </c>
      <c r="G582" t="inlineStr">
        <is>
          <t>RONNEBY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43339-2021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44432</v>
      </c>
      <c r="E583" s="1" t="n">
        <v>46253</v>
      </c>
      <c r="F583" t="inlineStr">
        <is>
          <t>BLEKINGE LÄN</t>
        </is>
      </c>
      <c r="G583" t="inlineStr">
        <is>
          <t>RONNEBY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29024-2023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45104</v>
      </c>
      <c r="E584" s="1" t="n">
        <v>46253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46253</v>
      </c>
      <c r="F585" t="inlineStr">
        <is>
          <t>BLEKINGE LÄN</t>
        </is>
      </c>
      <c r="G585" t="inlineStr">
        <is>
          <t>RONNEBY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29077-2023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46253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10.2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45691</v>
      </c>
      <c r="E587" s="1" t="n">
        <v>46253</v>
      </c>
      <c r="F587" t="inlineStr">
        <is>
          <t>BLEKINGE LÄN</t>
        </is>
      </c>
      <c r="G587" t="inlineStr">
        <is>
          <t>RONNEBY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52279-2024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45608</v>
      </c>
      <c r="E588" s="1" t="n">
        <v>46253</v>
      </c>
      <c r="F588" t="inlineStr">
        <is>
          <t>BLEKINGE LÄN</t>
        </is>
      </c>
      <c r="G588" t="inlineStr">
        <is>
          <t>RONNEBY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45502</v>
      </c>
      <c r="E589" s="1" t="n">
        <v>46253</v>
      </c>
      <c r="F589" t="inlineStr">
        <is>
          <t>BLEKINGE LÄN</t>
        </is>
      </c>
      <c r="G589" t="inlineStr">
        <is>
          <t>RONNEBY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44966</v>
      </c>
      <c r="E590" s="1" t="n">
        <v>46253</v>
      </c>
      <c r="F590" t="inlineStr">
        <is>
          <t>BLEKINGE LÄN</t>
        </is>
      </c>
      <c r="G590" t="inlineStr">
        <is>
          <t>RONNEBY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45527</v>
      </c>
      <c r="E591" s="1" t="n">
        <v>46253</v>
      </c>
      <c r="F591" t="inlineStr">
        <is>
          <t>BLEKINGE LÄN</t>
        </is>
      </c>
      <c r="G591" t="inlineStr">
        <is>
          <t>RONNEBY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43056-2024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45567</v>
      </c>
      <c r="E592" s="1" t="n">
        <v>46253</v>
      </c>
      <c r="F592" t="inlineStr">
        <is>
          <t>BLEKINGE LÄN</t>
        </is>
      </c>
      <c r="G592" t="inlineStr">
        <is>
          <t>RONNEBY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22193-2025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45785</v>
      </c>
      <c r="E593" s="1" t="n">
        <v>46253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11168-2025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45724</v>
      </c>
      <c r="E594" s="1" t="n">
        <v>46253</v>
      </c>
      <c r="F594" t="inlineStr">
        <is>
          <t>BLEKINGE LÄN</t>
        </is>
      </c>
      <c r="G594" t="inlineStr">
        <is>
          <t>RONNEBY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39564-2024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45551</v>
      </c>
      <c r="E595" s="1" t="n">
        <v>46253</v>
      </c>
      <c r="F595" t="inlineStr">
        <is>
          <t>BLEKINGE LÄN</t>
        </is>
      </c>
      <c r="G595" t="inlineStr">
        <is>
          <t>RONNEBY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45642-2024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45579</v>
      </c>
      <c r="E596" s="1" t="n">
        <v>46253</v>
      </c>
      <c r="F596" t="inlineStr">
        <is>
          <t>BLEKINGE LÄN</t>
        </is>
      </c>
      <c r="G596" t="inlineStr">
        <is>
          <t>RONNEBY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35245-2024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45530</v>
      </c>
      <c r="E597" s="1" t="n">
        <v>46253</v>
      </c>
      <c r="F597" t="inlineStr">
        <is>
          <t>BLEKINGE LÄN</t>
        </is>
      </c>
      <c r="G597" t="inlineStr">
        <is>
          <t>RONNEBY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42212-2024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46253</v>
      </c>
      <c r="F598" t="inlineStr">
        <is>
          <t>BLEKINGE LÄN</t>
        </is>
      </c>
      <c r="G598" t="inlineStr">
        <is>
          <t>RONNEBY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34884-2024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46253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61309-2024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46253</v>
      </c>
      <c r="F600" t="inlineStr">
        <is>
          <t>BLEKINGE LÄN</t>
        </is>
      </c>
      <c r="G600" t="inlineStr">
        <is>
          <t>RONNEBY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64469-2023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45280</v>
      </c>
      <c r="E601" s="1" t="n">
        <v>46253</v>
      </c>
      <c r="F601" t="inlineStr">
        <is>
          <t>BLEKINGE LÄN</t>
        </is>
      </c>
      <c r="G601" t="inlineStr">
        <is>
          <t>RONNEBY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43875-2021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44434</v>
      </c>
      <c r="E602" s="1" t="n">
        <v>46253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38463-2024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45546</v>
      </c>
      <c r="E603" s="1" t="n">
        <v>46253</v>
      </c>
      <c r="F603" t="inlineStr">
        <is>
          <t>BLEKINGE LÄN</t>
        </is>
      </c>
      <c r="G603" t="inlineStr">
        <is>
          <t>RONNEBY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46253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49939-2024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45597</v>
      </c>
      <c r="E605" s="1" t="n">
        <v>46253</v>
      </c>
      <c r="F605" t="inlineStr">
        <is>
          <t>BLEKINGE LÄN</t>
        </is>
      </c>
      <c r="G605" t="inlineStr">
        <is>
          <t>RONNEBY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2156-2025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45672</v>
      </c>
      <c r="E606" s="1" t="n">
        <v>46253</v>
      </c>
      <c r="F606" t="inlineStr">
        <is>
          <t>BLEKINGE LÄN</t>
        </is>
      </c>
      <c r="G606" t="inlineStr">
        <is>
          <t>RONNEBY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44973</v>
      </c>
      <c r="E607" s="1" t="n">
        <v>46253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45433-2023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45194</v>
      </c>
      <c r="E608" s="1" t="n">
        <v>46253</v>
      </c>
      <c r="F608" t="inlineStr">
        <is>
          <t>BLEKINGE LÄN</t>
        </is>
      </c>
      <c r="G608" t="inlineStr">
        <is>
          <t>RONNEBY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45078</v>
      </c>
      <c r="E609" s="1" t="n">
        <v>46253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57880-2023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45247</v>
      </c>
      <c r="E610" s="1" t="n">
        <v>46253</v>
      </c>
      <c r="F610" t="inlineStr">
        <is>
          <t>BLEKINGE LÄN</t>
        </is>
      </c>
      <c r="G610" t="inlineStr">
        <is>
          <t>RONNEBY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45644-2024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45579</v>
      </c>
      <c r="E611" s="1" t="n">
        <v>46253</v>
      </c>
      <c r="F611" t="inlineStr">
        <is>
          <t>BLEKINGE LÄN</t>
        </is>
      </c>
      <c r="G611" t="inlineStr">
        <is>
          <t>RONNEBY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45803</v>
      </c>
      <c r="E612" s="1" t="n">
        <v>46253</v>
      </c>
      <c r="F612" t="inlineStr">
        <is>
          <t>BLEKINGE LÄN</t>
        </is>
      </c>
      <c r="G612" t="inlineStr">
        <is>
          <t>RONNEBY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46253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46253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46253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46253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46253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46253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46253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46253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46253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46253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46253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46253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46253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46253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46253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46253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46253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46253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2026-08-19T01:47:00Z</dcterms:created>
  <dcterms:modified xmlns:dcterms="http://purl.org/dc/terms/" xmlns:xsi="http://www.w3.org/2001/XMLSchema-instance" xsi:type="dcterms:W3CDTF">2026-08-19T01:47:00Z</dcterms:modified>
</cp:coreProperties>
</file>