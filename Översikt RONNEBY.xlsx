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46300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46300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46300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46300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46300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46300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46300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46300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46300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46300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46300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46300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46300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46300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46300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46300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46300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46300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46300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46300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46300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46300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46300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46300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46300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46300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46300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46300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46300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HYPERLINK("https://klasma.github.io/Logging_1081/artfynd/A 45413-2023 artfynd.xlsx", "A 45413-2023")</f>
        <v/>
      </c>
      <c r="X38">
        <f>HYPERLINK("https://klasma.github.io/Logging_1081/kartor/A 45413-2023 karta.png", "A 45413-2023")</f>
        <v/>
      </c>
      <c r="Y38">
        <f>HYPERLINK("https://klasma.github.io/Logging_1081/kartor_geotiff/A 45413-2023 georefererad karta.tif", "A 45413-2023")</f>
        <v/>
      </c>
      <c r="AA38">
        <f>HYPERLINK("https://klasma.github.io/Logging_1081/klagomål/A 45413-2023 FSC-klagomål.docx", "A 45413-2023")</f>
        <v/>
      </c>
      <c r="AB38">
        <f>HYPERLINK("https://klasma.github.io/Logging_1081/klagomålsmail/A 45413-2023 FSC-klagomål mail.docx", "A 45413-2023")</f>
        <v/>
      </c>
      <c r="AC38">
        <f>HYPERLINK("https://klasma.github.io/Logging_1081/tillsyn/A 45413-2023 tillsynsbegäran.docx", "A 45413-2023")</f>
        <v/>
      </c>
      <c r="AD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46300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Tibast</t>
        </is>
      </c>
      <c r="W39">
        <f>HYPERLINK("https://klasma.github.io/Logging_1081/artfynd/A 9309-2023 artfynd.xlsx", "A 9309-2023")</f>
        <v/>
      </c>
      <c r="X39">
        <f>HYPERLINK("https://klasma.github.io/Logging_1081/kartor/A 9309-2023 karta.png", "A 9309-2023")</f>
        <v/>
      </c>
      <c r="Y39">
        <f>HYPERLINK("https://klasma.github.io/Logging_1081/kartor_geotiff/A 9309-2023 georefererad karta.tif", "A 9309-2023")</f>
        <v/>
      </c>
      <c r="AA39">
        <f>HYPERLINK("https://klasma.github.io/Logging_1081/klagomål/A 9309-2023 FSC-klagomål.docx", "A 9309-2023")</f>
        <v/>
      </c>
      <c r="AB39">
        <f>HYPERLINK("https://klasma.github.io/Logging_1081/klagomålsmail/A 9309-2023 FSC-klagomål mail.docx", "A 9309-2023")</f>
        <v/>
      </c>
      <c r="AC39">
        <f>HYPERLINK("https://klasma.github.io/Logging_1081/tillsyn/A 9309-2023 tillsynsbegäran.docx", "A 9309-2023")</f>
        <v/>
      </c>
      <c r="AD39">
        <f>HYPERLINK("https://klasma.github.io/Logging_1081/tillsynsmail/A 9309-2023 tillsynsbegäran mail.docx", "A 9309-2023")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46300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26288-2026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46300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1.6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Havstulpanlav</t>
        </is>
      </c>
      <c r="W41">
        <f>HYPERLINK("https://klasma.github.io/Logging_1081/artfynd/A 26288-2026 artfynd.xlsx", "A 26288-2026")</f>
        <v/>
      </c>
      <c r="X41">
        <f>HYPERLINK("https://klasma.github.io/Logging_1081/kartor/A 26288-2026 karta.png", "A 26288-2026")</f>
        <v/>
      </c>
      <c r="Y41">
        <f>HYPERLINK("https://klasma.github.io/Logging_1081/kartor_geotiff/A 26288-2026 georefererad karta.tif", "A 26288-2026")</f>
        <v/>
      </c>
      <c r="AA41">
        <f>HYPERLINK("https://klasma.github.io/Logging_1081/klagomål/A 26288-2026 FSC-klagomål.docx", "A 26288-2026")</f>
        <v/>
      </c>
      <c r="AB41">
        <f>HYPERLINK("https://klasma.github.io/Logging_1081/klagomålsmail/A 26288-2026 FSC-klagomål mail.docx", "A 26288-2026")</f>
        <v/>
      </c>
      <c r="AC41">
        <f>HYPERLINK("https://klasma.github.io/Logging_1081/tillsyn/A 26288-2026 tillsynsbegäran.docx", "A 26288-2026")</f>
        <v/>
      </c>
      <c r="AD41">
        <f>HYPERLINK("https://klasma.github.io/Logging_1081/tillsynsmail/A 26288-2026 tillsynsbegäran mail.docx", "A 26288-2026")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46300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41053-2024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46300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Hårklomossa</t>
        </is>
      </c>
      <c r="W43">
        <f>HYPERLINK("https://klasma.github.io/Logging_1081/artfynd/A 41053-2024 artfynd.xlsx", "A 41053-2024")</f>
        <v/>
      </c>
      <c r="X43">
        <f>HYPERLINK("https://klasma.github.io/Logging_1081/kartor/A 41053-2024 karta.png", "A 41053-2024")</f>
        <v/>
      </c>
      <c r="Y43">
        <f>HYPERLINK("https://klasma.github.io/Logging_1081/kartor_geotiff/A 41053-2024 georefererad karta.tif", "A 41053-2024")</f>
        <v/>
      </c>
      <c r="AA43">
        <f>HYPERLINK("https://klasma.github.io/Logging_1081/klagomål/A 41053-2024 FSC-klagomål.docx", "A 41053-2024")</f>
        <v/>
      </c>
      <c r="AB43">
        <f>HYPERLINK("https://klasma.github.io/Logging_1081/klagomålsmail/A 41053-2024 FSC-klagomål mail.docx", "A 41053-2024")</f>
        <v/>
      </c>
      <c r="AC43">
        <f>HYPERLINK("https://klasma.github.io/Logging_1081/tillsyn/A 41053-2024 tillsynsbegäran.docx", "A 41053-2024")</f>
        <v/>
      </c>
      <c r="AD43">
        <f>HYPERLINK("https://klasma.github.io/Logging_1081/tillsynsmail/A 41053-2024 tillsynsbegäran mail.docx", "A 41053-2024")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46300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46300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HYPERLINK("https://klasma.github.io/Logging_1081/artfynd/A 7842-2023 artfynd.xlsx", "A 7842-2023")</f>
        <v/>
      </c>
      <c r="X45">
        <f>HYPERLINK("https://klasma.github.io/Logging_1081/kartor/A 7842-2023 karta.png", "A 7842-2023")</f>
        <v/>
      </c>
      <c r="Y45">
        <f>HYPERLINK("https://klasma.github.io/Logging_1081/kartor_geotiff/A 7842-2023 georefererad karta.tif", "A 7842-2023")</f>
        <v/>
      </c>
      <c r="AA45">
        <f>HYPERLINK("https://klasma.github.io/Logging_1081/klagomål/A 7842-2023 FSC-klagomål.docx", "A 7842-2023")</f>
        <v/>
      </c>
      <c r="AB45">
        <f>HYPERLINK("https://klasma.github.io/Logging_1081/klagomålsmail/A 7842-2023 FSC-klagomål mail.docx", "A 7842-2023")</f>
        <v/>
      </c>
      <c r="AC45">
        <f>HYPERLINK("https://klasma.github.io/Logging_1081/tillsyn/A 7842-2023 tillsynsbegäran.docx", "A 7842-2023")</f>
        <v/>
      </c>
      <c r="AD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46300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46300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Grönhjon</t>
        </is>
      </c>
      <c r="W47">
        <f>HYPERLINK("https://klasma.github.io/Logging_1081/artfynd/A 14940-2023 artfynd.xlsx", "A 14940-2023")</f>
        <v/>
      </c>
      <c r="X47">
        <f>HYPERLINK("https://klasma.github.io/Logging_1081/kartor/A 14940-2023 karta.png", "A 14940-2023")</f>
        <v/>
      </c>
      <c r="Y47">
        <f>HYPERLINK("https://klasma.github.io/Logging_1081/kartor_geotiff/A 14940-2023 georefererad karta.tif", "A 14940-2023")</f>
        <v/>
      </c>
      <c r="AA47">
        <f>HYPERLINK("https://klasma.github.io/Logging_1081/klagomål/A 14940-2023 FSC-klagomål.docx", "A 14940-2023")</f>
        <v/>
      </c>
      <c r="AB47">
        <f>HYPERLINK("https://klasma.github.io/Logging_1081/klagomålsmail/A 14940-2023 FSC-klagomål mail.docx", "A 14940-2023")</f>
        <v/>
      </c>
      <c r="AC47">
        <f>HYPERLINK("https://klasma.github.io/Logging_1081/tillsyn/A 14940-2023 tillsynsbegäran.docx", "A 14940-2023")</f>
        <v/>
      </c>
      <c r="AD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46300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HYPERLINK("https://klasma.github.io/Logging_1081/artfynd/A 21446-2023 artfynd.xlsx", "A 21446-2023")</f>
        <v/>
      </c>
      <c r="X48">
        <f>HYPERLINK("https://klasma.github.io/Logging_1081/kartor/A 21446-2023 karta.png", "A 21446-2023")</f>
        <v/>
      </c>
      <c r="Y48">
        <f>HYPERLINK("https://klasma.github.io/Logging_1081/kartor_geotiff/A 21446-2023 georefererad karta.tif", "A 21446-2023")</f>
        <v/>
      </c>
      <c r="AA48">
        <f>HYPERLINK("https://klasma.github.io/Logging_1081/klagomål/A 21446-2023 FSC-klagomål.docx", "A 21446-2023")</f>
        <v/>
      </c>
      <c r="AB48">
        <f>HYPERLINK("https://klasma.github.io/Logging_1081/klagomålsmail/A 21446-2023 FSC-klagomål mail.docx", "A 21446-2023")</f>
        <v/>
      </c>
      <c r="AC48">
        <f>HYPERLINK("https://klasma.github.io/Logging_1081/tillsyn/A 21446-2023 tillsynsbegäran.docx", "A 21446-2023")</f>
        <v/>
      </c>
      <c r="AD48">
        <f>HYPERLINK("https://klasma.github.io/Logging_1081/tillsynsmail/A 21446-2023 tillsynsbegäran mail.docx", "A 21446-2023")</f>
        <v/>
      </c>
    </row>
    <row r="49" ht="15" customHeight="1">
      <c r="A49" t="inlineStr">
        <is>
          <t>A 41058-2024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45559</v>
      </c>
      <c r="E49" s="1" t="n">
        <v>46300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HYPERLINK("https://klasma.github.io/Logging_1081/artfynd/A 41058-2024 artfynd.xlsx", "A 41058-2024")</f>
        <v/>
      </c>
      <c r="X49">
        <f>HYPERLINK("https://klasma.github.io/Logging_1081/kartor/A 41058-2024 karta.png", "A 41058-2024")</f>
        <v/>
      </c>
      <c r="Y49">
        <f>HYPERLINK("https://klasma.github.io/Logging_1081/kartor_geotiff/A 41058-2024 georefererad karta.tif", "A 41058-2024")</f>
        <v/>
      </c>
      <c r="AA49">
        <f>HYPERLINK("https://klasma.github.io/Logging_1081/klagomål/A 41058-2024 FSC-klagomål.docx", "A 41058-2024")</f>
        <v/>
      </c>
      <c r="AB49">
        <f>HYPERLINK("https://klasma.github.io/Logging_1081/klagomålsmail/A 41058-2024 FSC-klagomål mail.docx", "A 41058-2024")</f>
        <v/>
      </c>
      <c r="AC49">
        <f>HYPERLINK("https://klasma.github.io/Logging_1081/tillsyn/A 41058-2024 tillsynsbegäran.docx", "A 41058-2024")</f>
        <v/>
      </c>
      <c r="AD49">
        <f>HYPERLINK("https://klasma.github.io/Logging_1081/tillsynsmail/A 41058-2024 tillsynsbegäran mail.docx", "A 41058-2024")</f>
        <v/>
      </c>
      <c r="AE49">
        <f>HYPERLINK("https://klasma.github.io/Logging_1081/fåglar/A 41058-2024 prioriterade fågelarter.docx", "A 41058-2024")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46300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46300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46300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46300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46300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46300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46300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46300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46300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46300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46300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46300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46300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46300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46300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46300</v>
      </c>
      <c r="F66" t="inlineStr">
        <is>
          <t>BLEKINGE LÄN</t>
        </is>
      </c>
      <c r="G66" t="inlineStr">
        <is>
          <t>RONNEBY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46300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46300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46300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46300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46300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46300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46300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46300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46300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46300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46300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46300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46300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46300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46300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46300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46300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46300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46300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46300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46300</v>
      </c>
      <c r="F87" t="inlineStr">
        <is>
          <t>BLEKINGE LÄN</t>
        </is>
      </c>
      <c r="G87" t="inlineStr">
        <is>
          <t>RONNEBY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46300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46300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46300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46300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46300</v>
      </c>
      <c r="F92" t="inlineStr">
        <is>
          <t>BLEKINGE LÄN</t>
        </is>
      </c>
      <c r="G92" t="inlineStr">
        <is>
          <t>RONNEBY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46300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46300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46300</v>
      </c>
      <c r="F95" t="inlineStr">
        <is>
          <t>BLEKINGE LÄN</t>
        </is>
      </c>
      <c r="G95" t="inlineStr">
        <is>
          <t>RONNEBY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46300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46300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46300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46300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46300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46300</v>
      </c>
      <c r="F101" t="inlineStr">
        <is>
          <t>BLEKINGE LÄN</t>
        </is>
      </c>
      <c r="G101" t="inlineStr">
        <is>
          <t>RONNEBY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46300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46300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46300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46300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46300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46300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46300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46300</v>
      </c>
      <c r="F109" t="inlineStr">
        <is>
          <t>BLEKINGE LÄN</t>
        </is>
      </c>
      <c r="G109" t="inlineStr">
        <is>
          <t>RONNEBY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46300</v>
      </c>
      <c r="F110" t="inlineStr">
        <is>
          <t>BLEKINGE LÄN</t>
        </is>
      </c>
      <c r="G110" t="inlineStr">
        <is>
          <t>RONNEBY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46300</v>
      </c>
      <c r="F111" t="inlineStr">
        <is>
          <t>BLEKINGE LÄN</t>
        </is>
      </c>
      <c r="G111" t="inlineStr">
        <is>
          <t>RONNEBY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46300</v>
      </c>
      <c r="F112" t="inlineStr">
        <is>
          <t>BLEKINGE LÄN</t>
        </is>
      </c>
      <c r="G112" t="inlineStr">
        <is>
          <t>RONNEBY</t>
        </is>
      </c>
      <c r="H112" t="inlineStr">
        <is>
          <t>Övriga Aktiebolag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46300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46300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46300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46300</v>
      </c>
      <c r="F116" t="inlineStr">
        <is>
          <t>BLEKINGE LÄN</t>
        </is>
      </c>
      <c r="G116" t="inlineStr">
        <is>
          <t>RONNEBY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46300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46300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46300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46300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44617</v>
      </c>
      <c r="E121" s="1" t="n">
        <v>46300</v>
      </c>
      <c r="F121" t="inlineStr">
        <is>
          <t>BLEKINGE LÄN</t>
        </is>
      </c>
      <c r="G121" t="inlineStr">
        <is>
          <t>RONNEBY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46300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45341</v>
      </c>
      <c r="E123" s="1" t="n">
        <v>46300</v>
      </c>
      <c r="F123" t="inlineStr">
        <is>
          <t>BLEKINGE LÄN</t>
        </is>
      </c>
      <c r="G123" t="inlineStr">
        <is>
          <t>RONNEBY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45600</v>
      </c>
      <c r="E124" s="1" t="n">
        <v>46300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46300</v>
      </c>
      <c r="F125" t="inlineStr">
        <is>
          <t>BLEKINGE LÄN</t>
        </is>
      </c>
      <c r="G125" t="inlineStr">
        <is>
          <t>RONNEBY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46300</v>
      </c>
      <c r="F126" t="inlineStr">
        <is>
          <t>BLEKINGE LÄN</t>
        </is>
      </c>
      <c r="G126" t="inlineStr">
        <is>
          <t>RONNEBY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46300</v>
      </c>
      <c r="F127" t="inlineStr">
        <is>
          <t>BLEKINGE LÄN</t>
        </is>
      </c>
      <c r="G127" t="inlineStr">
        <is>
          <t>RONNEBY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45724</v>
      </c>
      <c r="E128" s="1" t="n">
        <v>46300</v>
      </c>
      <c r="F128" t="inlineStr">
        <is>
          <t>BLEKINGE LÄN</t>
        </is>
      </c>
      <c r="G128" t="inlineStr">
        <is>
          <t>RONNEBY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46300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46300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46300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46300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46300</v>
      </c>
      <c r="F133" t="inlineStr">
        <is>
          <t>BLEKINGE LÄN</t>
        </is>
      </c>
      <c r="G133" t="inlineStr">
        <is>
          <t>RONNEBY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46300</v>
      </c>
      <c r="F134" t="inlineStr">
        <is>
          <t>BLEKINGE LÄN</t>
        </is>
      </c>
      <c r="G134" t="inlineStr">
        <is>
          <t>RONNEBY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46300</v>
      </c>
      <c r="F135" t="inlineStr">
        <is>
          <t>BLEKINGE LÄN</t>
        </is>
      </c>
      <c r="G135" t="inlineStr">
        <is>
          <t>RONNEBY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46300</v>
      </c>
      <c r="F136" t="inlineStr">
        <is>
          <t>BLEKINGE LÄN</t>
        </is>
      </c>
      <c r="G136" t="inlineStr">
        <is>
          <t>RONNEBY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46300</v>
      </c>
      <c r="F137" t="inlineStr">
        <is>
          <t>BLEKINGE LÄN</t>
        </is>
      </c>
      <c r="G137" t="inlineStr">
        <is>
          <t>RONNEBY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46300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46300</v>
      </c>
      <c r="F139" t="inlineStr">
        <is>
          <t>BLEKINGE LÄN</t>
        </is>
      </c>
      <c r="G139" t="inlineStr">
        <is>
          <t>RONNEBY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46300</v>
      </c>
      <c r="F140" t="inlineStr">
        <is>
          <t>BLEKINGE LÄN</t>
        </is>
      </c>
      <c r="G140" t="inlineStr">
        <is>
          <t>RONNEBY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46300</v>
      </c>
      <c r="F141" t="inlineStr">
        <is>
          <t>BLEKINGE LÄN</t>
        </is>
      </c>
      <c r="G141" t="inlineStr">
        <is>
          <t>RONNEBY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46300</v>
      </c>
      <c r="F142" t="inlineStr">
        <is>
          <t>BLEKINGE LÄN</t>
        </is>
      </c>
      <c r="G142" t="inlineStr">
        <is>
          <t>RONNEBY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46300</v>
      </c>
      <c r="F143" t="inlineStr">
        <is>
          <t>BLEKINGE LÄN</t>
        </is>
      </c>
      <c r="G143" t="inlineStr">
        <is>
          <t>RONNEBY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46300</v>
      </c>
      <c r="F144" t="inlineStr">
        <is>
          <t>BLEKINGE LÄN</t>
        </is>
      </c>
      <c r="G144" t="inlineStr">
        <is>
          <t>RONNEBY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46007</v>
      </c>
      <c r="E145" s="1" t="n">
        <v>46300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46300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46300</v>
      </c>
      <c r="F147" t="inlineStr">
        <is>
          <t>BLEKINGE LÄN</t>
        </is>
      </c>
      <c r="G147" t="inlineStr">
        <is>
          <t>RONNEBY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45128</v>
      </c>
      <c r="E148" s="1" t="n">
        <v>46300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46300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46300</v>
      </c>
      <c r="F150" t="inlineStr">
        <is>
          <t>BLEKINGE LÄN</t>
        </is>
      </c>
      <c r="G150" t="inlineStr">
        <is>
          <t>RONNEBY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46300</v>
      </c>
      <c r="F151" t="inlineStr">
        <is>
          <t>BLEKINGE LÄN</t>
        </is>
      </c>
      <c r="G151" t="inlineStr">
        <is>
          <t>RONNEBY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45739</v>
      </c>
      <c r="E152" s="1" t="n">
        <v>46300</v>
      </c>
      <c r="F152" t="inlineStr">
        <is>
          <t>BLEKINGE LÄN</t>
        </is>
      </c>
      <c r="G152" t="inlineStr">
        <is>
          <t>RONNEBY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46300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46300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1909-2023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44939</v>
      </c>
      <c r="E155" s="1" t="n">
        <v>46300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46300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46300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46300</v>
      </c>
      <c r="F158" t="inlineStr">
        <is>
          <t>BLEKINGE LÄN</t>
        </is>
      </c>
      <c r="G158" t="inlineStr">
        <is>
          <t>RONNEBY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46300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46300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45892</v>
      </c>
      <c r="E161" s="1" t="n">
        <v>46300</v>
      </c>
      <c r="F161" t="inlineStr">
        <is>
          <t>BLEKINGE LÄN</t>
        </is>
      </c>
      <c r="G161" t="inlineStr">
        <is>
          <t>RONNEBY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46300</v>
      </c>
      <c r="F162" t="inlineStr">
        <is>
          <t>BLEKINGE LÄN</t>
        </is>
      </c>
      <c r="G162" t="inlineStr">
        <is>
          <t>RONNEBY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46300</v>
      </c>
      <c r="F163" t="inlineStr">
        <is>
          <t>BLEKINGE LÄN</t>
        </is>
      </c>
      <c r="G163" t="inlineStr">
        <is>
          <t>RONNEBY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46300</v>
      </c>
      <c r="F164" t="inlineStr">
        <is>
          <t>BLEKINGE LÄN</t>
        </is>
      </c>
      <c r="G164" t="inlineStr">
        <is>
          <t>RONNEBY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46300</v>
      </c>
      <c r="F165" t="inlineStr">
        <is>
          <t>BLEKINGE LÄN</t>
        </is>
      </c>
      <c r="G165" t="inlineStr">
        <is>
          <t>RONNEBY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46300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45115</v>
      </c>
      <c r="E167" s="1" t="n">
        <v>46300</v>
      </c>
      <c r="F167" t="inlineStr">
        <is>
          <t>BLEKINGE LÄN</t>
        </is>
      </c>
      <c r="G167" t="inlineStr">
        <is>
          <t>RONNEBY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46300</v>
      </c>
      <c r="F168" t="inlineStr">
        <is>
          <t>BLEKINGE LÄN</t>
        </is>
      </c>
      <c r="G168" t="inlineStr">
        <is>
          <t>RONNEBY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46300</v>
      </c>
      <c r="F169" t="inlineStr">
        <is>
          <t>BLEKINGE LÄN</t>
        </is>
      </c>
      <c r="G169" t="inlineStr">
        <is>
          <t>RONNEBY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46300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46300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46300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46300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45843</v>
      </c>
      <c r="E174" s="1" t="n">
        <v>46300</v>
      </c>
      <c r="F174" t="inlineStr">
        <is>
          <t>BLEKINGE LÄN</t>
        </is>
      </c>
      <c r="G174" t="inlineStr">
        <is>
          <t>RONNEBY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46300</v>
      </c>
      <c r="F175" t="inlineStr">
        <is>
          <t>BLEKINGE LÄN</t>
        </is>
      </c>
      <c r="G175" t="inlineStr">
        <is>
          <t>RONNEBY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46300</v>
      </c>
      <c r="F176" t="inlineStr">
        <is>
          <t>BLEKINGE LÄN</t>
        </is>
      </c>
      <c r="G176" t="inlineStr">
        <is>
          <t>RONNEBY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45910</v>
      </c>
      <c r="E177" s="1" t="n">
        <v>46300</v>
      </c>
      <c r="F177" t="inlineStr">
        <is>
          <t>BLEKINGE LÄN</t>
        </is>
      </c>
      <c r="G177" t="inlineStr">
        <is>
          <t>RONNEBY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46300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46300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46300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46300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46300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46300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46300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statliga verk och myndigheter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46300</v>
      </c>
      <c r="F185" t="inlineStr">
        <is>
          <t>BLEKINGE LÄN</t>
        </is>
      </c>
      <c r="G185" t="inlineStr">
        <is>
          <t>RONNEBY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46046</v>
      </c>
      <c r="E186" s="1" t="n">
        <v>46300</v>
      </c>
      <c r="F186" t="inlineStr">
        <is>
          <t>BLEKINGE LÄN</t>
        </is>
      </c>
      <c r="G186" t="inlineStr">
        <is>
          <t>RONNEBY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46300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46300</v>
      </c>
      <c r="F188" t="inlineStr">
        <is>
          <t>BLEKINGE LÄN</t>
        </is>
      </c>
      <c r="G188" t="inlineStr">
        <is>
          <t>RONNEBY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46300</v>
      </c>
      <c r="F189" t="inlineStr">
        <is>
          <t>BLEKINGE LÄN</t>
        </is>
      </c>
      <c r="G189" t="inlineStr">
        <is>
          <t>RONNEBY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46300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46300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46300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46300</v>
      </c>
      <c r="F193" t="inlineStr">
        <is>
          <t>BLEKINGE LÄN</t>
        </is>
      </c>
      <c r="G193" t="inlineStr">
        <is>
          <t>RONNEBY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46300</v>
      </c>
      <c r="F194" t="inlineStr">
        <is>
          <t>BLEKINGE LÄN</t>
        </is>
      </c>
      <c r="G194" t="inlineStr">
        <is>
          <t>RONNEBY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46300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46300</v>
      </c>
      <c r="F196" t="inlineStr">
        <is>
          <t>BLEKINGE LÄN</t>
        </is>
      </c>
      <c r="G196" t="inlineStr">
        <is>
          <t>RONNEBY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30197-2024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45490</v>
      </c>
      <c r="E197" s="1" t="n">
        <v>46300</v>
      </c>
      <c r="F197" t="inlineStr">
        <is>
          <t>BLEKINGE LÄN</t>
        </is>
      </c>
      <c r="G197" t="inlineStr">
        <is>
          <t>RONNEBY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46300</v>
      </c>
      <c r="F198" t="inlineStr">
        <is>
          <t>BLEKINGE LÄN</t>
        </is>
      </c>
      <c r="G198" t="inlineStr">
        <is>
          <t>RONNEBY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46300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45785</v>
      </c>
      <c r="E200" s="1" t="n">
        <v>46300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46300</v>
      </c>
      <c r="F201" t="inlineStr">
        <is>
          <t>BLEKINGE LÄN</t>
        </is>
      </c>
      <c r="G201" t="inlineStr">
        <is>
          <t>RONNEBY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46300</v>
      </c>
      <c r="F202" t="inlineStr">
        <is>
          <t>BLEKINGE LÄN</t>
        </is>
      </c>
      <c r="G202" t="inlineStr">
        <is>
          <t>RONNEBY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46300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46300</v>
      </c>
      <c r="F204" t="inlineStr">
        <is>
          <t>BLEKINGE LÄN</t>
        </is>
      </c>
      <c r="G204" t="inlineStr">
        <is>
          <t>RONNEBY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46300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46300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44822</v>
      </c>
      <c r="E207" s="1" t="n">
        <v>46300</v>
      </c>
      <c r="F207" t="inlineStr">
        <is>
          <t>BLEKINGE LÄN</t>
        </is>
      </c>
      <c r="G207" t="inlineStr">
        <is>
          <t>RONNEBY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46300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46300</v>
      </c>
      <c r="F209" t="inlineStr">
        <is>
          <t>BLEKINGE LÄN</t>
        </is>
      </c>
      <c r="G209" t="inlineStr">
        <is>
          <t>RONNEBY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46300</v>
      </c>
      <c r="F210" t="inlineStr">
        <is>
          <t>BLEKINGE LÄN</t>
        </is>
      </c>
      <c r="G210" t="inlineStr">
        <is>
          <t>RONNEBY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46300</v>
      </c>
      <c r="F211" t="inlineStr">
        <is>
          <t>BLEKINGE LÄN</t>
        </is>
      </c>
      <c r="G211" t="inlineStr">
        <is>
          <t>RONNEBY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46300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46300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46300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46300</v>
      </c>
      <c r="F215" t="inlineStr">
        <is>
          <t>BLEKINGE LÄN</t>
        </is>
      </c>
      <c r="G215" t="inlineStr">
        <is>
          <t>RONNEBY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46300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46300</v>
      </c>
      <c r="F217" t="inlineStr">
        <is>
          <t>BLEKINGE LÄN</t>
        </is>
      </c>
      <c r="G217" t="inlineStr">
        <is>
          <t>RONNEBY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46300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46300</v>
      </c>
      <c r="F219" t="inlineStr">
        <is>
          <t>BLEKINGE LÄN</t>
        </is>
      </c>
      <c r="G219" t="inlineStr">
        <is>
          <t>RONNEBY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46300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46300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46300</v>
      </c>
      <c r="F222" t="inlineStr">
        <is>
          <t>BLEKINGE LÄN</t>
        </is>
      </c>
      <c r="G222" t="inlineStr">
        <is>
          <t>RONNEBY</t>
        </is>
      </c>
      <c r="H222" t="inlineStr">
        <is>
          <t>Kyrkan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46073</v>
      </c>
      <c r="E223" s="1" t="n">
        <v>46300</v>
      </c>
      <c r="F223" t="inlineStr">
        <is>
          <t>BLEKINGE LÄN</t>
        </is>
      </c>
      <c r="G223" t="inlineStr">
        <is>
          <t>RONNEBY</t>
        </is>
      </c>
      <c r="H223" t="inlineStr">
        <is>
          <t>Kyrkan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46300</v>
      </c>
      <c r="F224" t="inlineStr">
        <is>
          <t>BLEKINGE LÄN</t>
        </is>
      </c>
      <c r="G224" t="inlineStr">
        <is>
          <t>RONNEBY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46300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46078</v>
      </c>
      <c r="E226" s="1" t="n">
        <v>46300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29551-2022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46300</v>
      </c>
      <c r="F227" t="inlineStr">
        <is>
          <t>BLEKINGE LÄN</t>
        </is>
      </c>
      <c r="G227" t="inlineStr">
        <is>
          <t>RONNEBY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46300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44884</v>
      </c>
      <c r="E229" s="1" t="n">
        <v>46300</v>
      </c>
      <c r="F229" t="inlineStr">
        <is>
          <t>BLEKINGE LÄN</t>
        </is>
      </c>
      <c r="G229" t="inlineStr">
        <is>
          <t>RONNEBY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46300</v>
      </c>
      <c r="F230" t="inlineStr">
        <is>
          <t>BLEKINGE LÄN</t>
        </is>
      </c>
      <c r="G230" t="inlineStr">
        <is>
          <t>RONNEBY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46300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46300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46300</v>
      </c>
      <c r="F233" t="inlineStr">
        <is>
          <t>BLEKINGE LÄN</t>
        </is>
      </c>
      <c r="G233" t="inlineStr">
        <is>
          <t>RONNEBY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46300</v>
      </c>
      <c r="F234" t="inlineStr">
        <is>
          <t>BLEKINGE LÄN</t>
        </is>
      </c>
      <c r="G234" t="inlineStr">
        <is>
          <t>RONNEBY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46300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46300</v>
      </c>
      <c r="F236" t="inlineStr">
        <is>
          <t>BLEKINGE LÄN</t>
        </is>
      </c>
      <c r="G236" t="inlineStr">
        <is>
          <t>RONNEBY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46300</v>
      </c>
      <c r="F237" t="inlineStr">
        <is>
          <t>BLEKINGE LÄN</t>
        </is>
      </c>
      <c r="G237" t="inlineStr">
        <is>
          <t>RONNEBY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46300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46300</v>
      </c>
      <c r="F239" t="inlineStr">
        <is>
          <t>BLEKINGE LÄN</t>
        </is>
      </c>
      <c r="G239" t="inlineStr">
        <is>
          <t>RONNEBY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46300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45402</v>
      </c>
      <c r="E241" s="1" t="n">
        <v>46300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46300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46300</v>
      </c>
      <c r="F243" t="inlineStr">
        <is>
          <t>BLEKINGE LÄN</t>
        </is>
      </c>
      <c r="G243" t="inlineStr">
        <is>
          <t>RONNEBY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46300</v>
      </c>
      <c r="F244" t="inlineStr">
        <is>
          <t>BLEKINGE LÄN</t>
        </is>
      </c>
      <c r="G244" t="inlineStr">
        <is>
          <t>RONNEBY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46300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46300</v>
      </c>
      <c r="F246" t="inlineStr">
        <is>
          <t>BLEKINGE LÄN</t>
        </is>
      </c>
      <c r="G246" t="inlineStr">
        <is>
          <t>RONNEBY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45099</v>
      </c>
      <c r="E247" s="1" t="n">
        <v>46300</v>
      </c>
      <c r="F247" t="inlineStr">
        <is>
          <t>BLEKINGE LÄN</t>
        </is>
      </c>
      <c r="G247" t="inlineStr">
        <is>
          <t>RONNEBY</t>
        </is>
      </c>
      <c r="I247" t="n">
        <v>14.4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46300</v>
      </c>
      <c r="F248" t="inlineStr">
        <is>
          <t>BLEKINGE LÄN</t>
        </is>
      </c>
      <c r="G248" t="inlineStr">
        <is>
          <t>RONNEBY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46300</v>
      </c>
      <c r="F249" t="inlineStr">
        <is>
          <t>BLEKINGE LÄN</t>
        </is>
      </c>
      <c r="G249" t="inlineStr">
        <is>
          <t>RONNEBY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46300</v>
      </c>
      <c r="F250" t="inlineStr">
        <is>
          <t>BLEKINGE LÄN</t>
        </is>
      </c>
      <c r="G250" t="inlineStr">
        <is>
          <t>RONNEBY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46300</v>
      </c>
      <c r="F251" t="inlineStr">
        <is>
          <t>BLEKINGE LÄN</t>
        </is>
      </c>
      <c r="G251" t="inlineStr">
        <is>
          <t>RONNEBY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45714</v>
      </c>
      <c r="E252" s="1" t="n">
        <v>46300</v>
      </c>
      <c r="F252" t="inlineStr">
        <is>
          <t>BLEKINGE LÄN</t>
        </is>
      </c>
      <c r="G252" t="inlineStr">
        <is>
          <t>RONNEBY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46300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46300</v>
      </c>
      <c r="F254" t="inlineStr">
        <is>
          <t>BLEKINGE LÄN</t>
        </is>
      </c>
      <c r="G254" t="inlineStr">
        <is>
          <t>RONNEBY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46300</v>
      </c>
      <c r="F255" t="inlineStr">
        <is>
          <t>BLEKINGE LÄN</t>
        </is>
      </c>
      <c r="G255" t="inlineStr">
        <is>
          <t>RONNEBY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45192</v>
      </c>
      <c r="E256" s="1" t="n">
        <v>46300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46300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46300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46300</v>
      </c>
      <c r="F259" t="inlineStr">
        <is>
          <t>BLEKINGE LÄN</t>
        </is>
      </c>
      <c r="G259" t="inlineStr">
        <is>
          <t>RONNEBY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46300</v>
      </c>
      <c r="F260" t="inlineStr">
        <is>
          <t>BLEKINGE LÄN</t>
        </is>
      </c>
      <c r="G260" t="inlineStr">
        <is>
          <t>RONNEBY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46300</v>
      </c>
      <c r="F261" t="inlineStr">
        <is>
          <t>BLEKINGE LÄN</t>
        </is>
      </c>
      <c r="G261" t="inlineStr">
        <is>
          <t>RONNEBY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46300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46300</v>
      </c>
      <c r="F263" t="inlineStr">
        <is>
          <t>BLEKINGE LÄN</t>
        </is>
      </c>
      <c r="G263" t="inlineStr">
        <is>
          <t>RONNEBY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46300</v>
      </c>
      <c r="F264" t="inlineStr">
        <is>
          <t>BLEKINGE LÄN</t>
        </is>
      </c>
      <c r="G264" t="inlineStr">
        <is>
          <t>RONNEBY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46300</v>
      </c>
      <c r="F265" t="inlineStr">
        <is>
          <t>BLEKINGE LÄN</t>
        </is>
      </c>
      <c r="G265" t="inlineStr">
        <is>
          <t>RONNEBY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45360</v>
      </c>
      <c r="E266" s="1" t="n">
        <v>46300</v>
      </c>
      <c r="F266" t="inlineStr">
        <is>
          <t>BLEKINGE LÄN</t>
        </is>
      </c>
      <c r="G266" t="inlineStr">
        <is>
          <t>RONNEBY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46300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46300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45413</v>
      </c>
      <c r="E269" s="1" t="n">
        <v>46300</v>
      </c>
      <c r="F269" t="inlineStr">
        <is>
          <t>BLEKINGE LÄN</t>
        </is>
      </c>
      <c r="G269" t="inlineStr">
        <is>
          <t>RONNEBY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58648-2025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45986</v>
      </c>
      <c r="E270" s="1" t="n">
        <v>46300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46300</v>
      </c>
      <c r="F271" t="inlineStr">
        <is>
          <t>BLEKINGE LÄN</t>
        </is>
      </c>
      <c r="G271" t="inlineStr">
        <is>
          <t>RONNEBY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46300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46300</v>
      </c>
      <c r="F273" t="inlineStr">
        <is>
          <t>BLEKINGE LÄN</t>
        </is>
      </c>
      <c r="G273" t="inlineStr">
        <is>
          <t>RONNEBY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46300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46300</v>
      </c>
      <c r="F275" t="inlineStr">
        <is>
          <t>BLEKINGE LÄN</t>
        </is>
      </c>
      <c r="G275" t="inlineStr">
        <is>
          <t>RONNEBY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46300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46300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46300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46300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46300</v>
      </c>
      <c r="F280" t="inlineStr">
        <is>
          <t>BLEKINGE LÄN</t>
        </is>
      </c>
      <c r="G280" t="inlineStr">
        <is>
          <t>RONNEBY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46300</v>
      </c>
      <c r="F281" t="inlineStr">
        <is>
          <t>BLEKINGE LÄN</t>
        </is>
      </c>
      <c r="G281" t="inlineStr">
        <is>
          <t>RONNEBY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46300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46300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Aktiebolag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46300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46300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46300</v>
      </c>
      <c r="F286" t="inlineStr">
        <is>
          <t>BLEKINGE LÄN</t>
        </is>
      </c>
      <c r="G286" t="inlineStr">
        <is>
          <t>RONNEBY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46300</v>
      </c>
      <c r="F287" t="inlineStr">
        <is>
          <t>BLEKINGE LÄN</t>
        </is>
      </c>
      <c r="G287" t="inlineStr">
        <is>
          <t>RONNEBY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46300</v>
      </c>
      <c r="F288" t="inlineStr">
        <is>
          <t>BLEKINGE LÄN</t>
        </is>
      </c>
      <c r="G288" t="inlineStr">
        <is>
          <t>RONNEBY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46300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28975-2023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45104</v>
      </c>
      <c r="E290" s="1" t="n">
        <v>46300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46300</v>
      </c>
      <c r="F291" t="inlineStr">
        <is>
          <t>BLEKINGE LÄN</t>
        </is>
      </c>
      <c r="G291" t="inlineStr">
        <is>
          <t>RONNEBY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46300</v>
      </c>
      <c r="F292" t="inlineStr">
        <is>
          <t>BLEKINGE LÄN</t>
        </is>
      </c>
      <c r="G292" t="inlineStr">
        <is>
          <t>RONNEBY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46300</v>
      </c>
      <c r="F293" t="inlineStr">
        <is>
          <t>BLEKINGE LÄN</t>
        </is>
      </c>
      <c r="G293" t="inlineStr">
        <is>
          <t>RONNEBY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46300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46300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46542-2022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44848</v>
      </c>
      <c r="E296" s="1" t="n">
        <v>46300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46300</v>
      </c>
      <c r="F297" t="inlineStr">
        <is>
          <t>BLEKINGE LÄN</t>
        </is>
      </c>
      <c r="G297" t="inlineStr">
        <is>
          <t>RONNEBY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11257-2023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46300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46300</v>
      </c>
      <c r="F299" t="inlineStr">
        <is>
          <t>BLEKINGE LÄN</t>
        </is>
      </c>
      <c r="G299" t="inlineStr">
        <is>
          <t>RONNEBY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46300</v>
      </c>
      <c r="F300" t="inlineStr">
        <is>
          <t>BLEKINGE LÄN</t>
        </is>
      </c>
      <c r="G300" t="inlineStr">
        <is>
          <t>RONNEBY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44916</v>
      </c>
      <c r="E301" s="1" t="n">
        <v>46300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46300</v>
      </c>
      <c r="F302" t="inlineStr">
        <is>
          <t>BLEKINGE LÄN</t>
        </is>
      </c>
      <c r="G302" t="inlineStr">
        <is>
          <t>RONNEBY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46300</v>
      </c>
      <c r="F303" t="inlineStr">
        <is>
          <t>BLEKINGE LÄN</t>
        </is>
      </c>
      <c r="G303" t="inlineStr">
        <is>
          <t>RONNEBY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45843</v>
      </c>
      <c r="E304" s="1" t="n">
        <v>46300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46300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46300</v>
      </c>
      <c r="F306" t="inlineStr">
        <is>
          <t>BLEKINGE LÄN</t>
        </is>
      </c>
      <c r="G306" t="inlineStr">
        <is>
          <t>RONNEBY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46300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46300</v>
      </c>
      <c r="F308" t="inlineStr">
        <is>
          <t>BLEKINGE LÄN</t>
        </is>
      </c>
      <c r="G308" t="inlineStr">
        <is>
          <t>RONNEBY</t>
        </is>
      </c>
      <c r="I308" t="n">
        <v>12.6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46300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46300</v>
      </c>
      <c r="F310" t="inlineStr">
        <is>
          <t>BLEKINGE LÄN</t>
        </is>
      </c>
      <c r="G310" t="inlineStr">
        <is>
          <t>RONNEBY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46300</v>
      </c>
      <c r="F311" t="inlineStr">
        <is>
          <t>BLEKINGE LÄN</t>
        </is>
      </c>
      <c r="G311" t="inlineStr">
        <is>
          <t>RONNEBY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46300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46300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46300</v>
      </c>
      <c r="F314" t="inlineStr">
        <is>
          <t>BLEKINGE LÄN</t>
        </is>
      </c>
      <c r="G314" t="inlineStr">
        <is>
          <t>RONNEBY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46300</v>
      </c>
      <c r="F315" t="inlineStr">
        <is>
          <t>BLEKINGE LÄN</t>
        </is>
      </c>
      <c r="G315" t="inlineStr">
        <is>
          <t>RONNEBY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46300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46300</v>
      </c>
      <c r="F317" t="inlineStr">
        <is>
          <t>BLEKINGE LÄN</t>
        </is>
      </c>
      <c r="G317" t="inlineStr">
        <is>
          <t>RONNEBY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54065-2024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45616</v>
      </c>
      <c r="E318" s="1" t="n">
        <v>46300</v>
      </c>
      <c r="F318" t="inlineStr">
        <is>
          <t>BLEKINGE LÄN</t>
        </is>
      </c>
      <c r="G318" t="inlineStr">
        <is>
          <t>RONNEBY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45053</v>
      </c>
      <c r="E319" s="1" t="n">
        <v>46300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45429</v>
      </c>
      <c r="E320" s="1" t="n">
        <v>46300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46300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45597</v>
      </c>
      <c r="E322" s="1" t="n">
        <v>46300</v>
      </c>
      <c r="F322" t="inlineStr">
        <is>
          <t>BLEKINGE LÄN</t>
        </is>
      </c>
      <c r="G322" t="inlineStr">
        <is>
          <t>RONNEBY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45630</v>
      </c>
      <c r="E323" s="1" t="n">
        <v>46300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46300</v>
      </c>
      <c r="F324" t="inlineStr">
        <is>
          <t>BLEKINGE LÄN</t>
        </is>
      </c>
      <c r="G324" t="inlineStr">
        <is>
          <t>RONNEBY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44944</v>
      </c>
      <c r="E325" s="1" t="n">
        <v>46300</v>
      </c>
      <c r="F325" t="inlineStr">
        <is>
          <t>BLEKINGE LÄN</t>
        </is>
      </c>
      <c r="G325" t="inlineStr">
        <is>
          <t>RONNEBY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46300</v>
      </c>
      <c r="F326" t="inlineStr">
        <is>
          <t>BLEKINGE LÄN</t>
        </is>
      </c>
      <c r="G326" t="inlineStr">
        <is>
          <t>RONNEBY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54248-2025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46300</v>
      </c>
      <c r="F327" t="inlineStr">
        <is>
          <t>BLEKINGE LÄN</t>
        </is>
      </c>
      <c r="G327" t="inlineStr">
        <is>
          <t>RONNEBY</t>
        </is>
      </c>
      <c r="H327" t="inlineStr">
        <is>
          <t>Kommuner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46300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45019</v>
      </c>
      <c r="E329" s="1" t="n">
        <v>46300</v>
      </c>
      <c r="F329" t="inlineStr">
        <is>
          <t>BLEKINGE LÄN</t>
        </is>
      </c>
      <c r="G329" t="inlineStr">
        <is>
          <t>RONNEBY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46300</v>
      </c>
      <c r="F330" t="inlineStr">
        <is>
          <t>BLEKINGE LÄN</t>
        </is>
      </c>
      <c r="G330" t="inlineStr">
        <is>
          <t>RONNEBY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46300</v>
      </c>
      <c r="F331" t="inlineStr">
        <is>
          <t>BLEKINGE LÄN</t>
        </is>
      </c>
      <c r="G331" t="inlineStr">
        <is>
          <t>RONNEBY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44756</v>
      </c>
      <c r="E332" s="1" t="n">
        <v>46300</v>
      </c>
      <c r="F332" t="inlineStr">
        <is>
          <t>BLEKINGE LÄN</t>
        </is>
      </c>
      <c r="G332" t="inlineStr">
        <is>
          <t>RONNEBY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46300</v>
      </c>
      <c r="F333" t="inlineStr">
        <is>
          <t>BLEKINGE LÄN</t>
        </is>
      </c>
      <c r="G333" t="inlineStr">
        <is>
          <t>RONNEBY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46300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14329-2023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45012</v>
      </c>
      <c r="E335" s="1" t="n">
        <v>46300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46300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46300</v>
      </c>
      <c r="F337" t="inlineStr">
        <is>
          <t>BLEKINGE LÄN</t>
        </is>
      </c>
      <c r="G337" t="inlineStr">
        <is>
          <t>RONNEBY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46300</v>
      </c>
      <c r="F338" t="inlineStr">
        <is>
          <t>BLEKINGE LÄN</t>
        </is>
      </c>
      <c r="G338" t="inlineStr">
        <is>
          <t>RONNEBY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46300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46300</v>
      </c>
      <c r="F340" t="inlineStr">
        <is>
          <t>BLEKINGE LÄN</t>
        </is>
      </c>
      <c r="G340" t="inlineStr">
        <is>
          <t>RONNEBY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46300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46300</v>
      </c>
      <c r="F342" t="inlineStr">
        <is>
          <t>BLEKINGE LÄN</t>
        </is>
      </c>
      <c r="G342" t="inlineStr">
        <is>
          <t>RONNEBY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46300</v>
      </c>
      <c r="F343" t="inlineStr">
        <is>
          <t>BLEKINGE LÄN</t>
        </is>
      </c>
      <c r="G343" t="inlineStr">
        <is>
          <t>RONNEBY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45432</v>
      </c>
      <c r="E344" s="1" t="n">
        <v>46300</v>
      </c>
      <c r="F344" t="inlineStr">
        <is>
          <t>BLEKINGE LÄN</t>
        </is>
      </c>
      <c r="G344" t="inlineStr">
        <is>
          <t>RONNEBY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46300</v>
      </c>
      <c r="F345" t="inlineStr">
        <is>
          <t>BLEKINGE LÄN</t>
        </is>
      </c>
      <c r="G345" t="inlineStr">
        <is>
          <t>RONNEBY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46300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46300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46300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46300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45505</v>
      </c>
      <c r="E350" s="1" t="n">
        <v>46300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46300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46300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46300</v>
      </c>
      <c r="F353" t="inlineStr">
        <is>
          <t>BLEKINGE LÄN</t>
        </is>
      </c>
      <c r="G353" t="inlineStr">
        <is>
          <t>RONNEBY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46300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46300</v>
      </c>
      <c r="F355" t="inlineStr">
        <is>
          <t>BLEKINGE LÄN</t>
        </is>
      </c>
      <c r="G355" t="inlineStr">
        <is>
          <t>RONNEBY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46300</v>
      </c>
      <c r="F356" t="inlineStr">
        <is>
          <t>BLEKINGE LÄN</t>
        </is>
      </c>
      <c r="G356" t="inlineStr">
        <is>
          <t>RONNEBY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46300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46300</v>
      </c>
      <c r="F358" t="inlineStr">
        <is>
          <t>BLEKINGE LÄN</t>
        </is>
      </c>
      <c r="G358" t="inlineStr">
        <is>
          <t>RONNEBY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46300</v>
      </c>
      <c r="F359" t="inlineStr">
        <is>
          <t>BLEKINGE LÄN</t>
        </is>
      </c>
      <c r="G359" t="inlineStr">
        <is>
          <t>RONNEBY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46300</v>
      </c>
      <c r="F360" t="inlineStr">
        <is>
          <t>BLEKINGE LÄN</t>
        </is>
      </c>
      <c r="G360" t="inlineStr">
        <is>
          <t>RONNEBY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46300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46300</v>
      </c>
      <c r="F362" t="inlineStr">
        <is>
          <t>BLEKINGE LÄN</t>
        </is>
      </c>
      <c r="G362" t="inlineStr">
        <is>
          <t>RONNEBY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45360</v>
      </c>
      <c r="E363" s="1" t="n">
        <v>46300</v>
      </c>
      <c r="F363" t="inlineStr">
        <is>
          <t>BLEKINGE LÄN</t>
        </is>
      </c>
      <c r="G363" t="inlineStr">
        <is>
          <t>RONNEBY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44565</v>
      </c>
      <c r="E364" s="1" t="n">
        <v>46300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46300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44586</v>
      </c>
      <c r="E366" s="1" t="n">
        <v>46300</v>
      </c>
      <c r="F366" t="inlineStr">
        <is>
          <t>BLEKINGE LÄN</t>
        </is>
      </c>
      <c r="G366" t="inlineStr">
        <is>
          <t>RONNEBY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46300</v>
      </c>
      <c r="F367" t="inlineStr">
        <is>
          <t>BLEKINGE LÄN</t>
        </is>
      </c>
      <c r="G367" t="inlineStr">
        <is>
          <t>RONNEBY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46300</v>
      </c>
      <c r="F368" t="inlineStr">
        <is>
          <t>BLEKINGE LÄN</t>
        </is>
      </c>
      <c r="G368" t="inlineStr">
        <is>
          <t>RONNEBY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46300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46300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46300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44754</v>
      </c>
      <c r="E372" s="1" t="n">
        <v>46300</v>
      </c>
      <c r="F372" t="inlineStr">
        <is>
          <t>BLEKINGE LÄN</t>
        </is>
      </c>
      <c r="G372" t="inlineStr">
        <is>
          <t>RONNEBY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44753</v>
      </c>
      <c r="E373" s="1" t="n">
        <v>46300</v>
      </c>
      <c r="F373" t="inlineStr">
        <is>
          <t>BLEKINGE LÄN</t>
        </is>
      </c>
      <c r="G373" t="inlineStr">
        <is>
          <t>RONNEBY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46300</v>
      </c>
      <c r="F374" t="inlineStr">
        <is>
          <t>BLEKINGE LÄN</t>
        </is>
      </c>
      <c r="G374" t="inlineStr">
        <is>
          <t>RONNEBY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45001</v>
      </c>
      <c r="E375" s="1" t="n">
        <v>46300</v>
      </c>
      <c r="F375" t="inlineStr">
        <is>
          <t>BLEKINGE LÄN</t>
        </is>
      </c>
      <c r="G375" t="inlineStr">
        <is>
          <t>RONNEBY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46300</v>
      </c>
      <c r="F376" t="inlineStr">
        <is>
          <t>BLEKINGE LÄN</t>
        </is>
      </c>
      <c r="G376" t="inlineStr">
        <is>
          <t>RONNEBY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46300</v>
      </c>
      <c r="F377" t="inlineStr">
        <is>
          <t>BLEKINGE LÄN</t>
        </is>
      </c>
      <c r="G377" t="inlineStr">
        <is>
          <t>RONNEBY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46300</v>
      </c>
      <c r="F378" t="inlineStr">
        <is>
          <t>BLEKINGE LÄN</t>
        </is>
      </c>
      <c r="G378" t="inlineStr">
        <is>
          <t>RONNEBY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46300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45246</v>
      </c>
      <c r="E380" s="1" t="n">
        <v>46300</v>
      </c>
      <c r="F380" t="inlineStr">
        <is>
          <t>BLEKINGE LÄN</t>
        </is>
      </c>
      <c r="G380" t="inlineStr">
        <is>
          <t>RONNEBY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46300</v>
      </c>
      <c r="F381" t="inlineStr">
        <is>
          <t>BLEKINGE LÄN</t>
        </is>
      </c>
      <c r="G381" t="inlineStr">
        <is>
          <t>RONNEBY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45001</v>
      </c>
      <c r="E382" s="1" t="n">
        <v>46300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45036</v>
      </c>
      <c r="E383" s="1" t="n">
        <v>46300</v>
      </c>
      <c r="F383" t="inlineStr">
        <is>
          <t>BLEKINGE LÄN</t>
        </is>
      </c>
      <c r="G383" t="inlineStr">
        <is>
          <t>RONNEBY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9057-2024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46300</v>
      </c>
      <c r="F384" t="inlineStr">
        <is>
          <t>BLEKINGE LÄN</t>
        </is>
      </c>
      <c r="G384" t="inlineStr">
        <is>
          <t>RONNEBY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46300</v>
      </c>
      <c r="F385" t="inlineStr">
        <is>
          <t>BLEKINGE LÄN</t>
        </is>
      </c>
      <c r="G385" t="inlineStr">
        <is>
          <t>RONNEBY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45841</v>
      </c>
      <c r="E386" s="1" t="n">
        <v>46300</v>
      </c>
      <c r="F386" t="inlineStr">
        <is>
          <t>BLEKINGE LÄN</t>
        </is>
      </c>
      <c r="G386" t="inlineStr">
        <is>
          <t>RONNEBY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45555</v>
      </c>
      <c r="E387" s="1" t="n">
        <v>46300</v>
      </c>
      <c r="F387" t="inlineStr">
        <is>
          <t>BLEKINGE LÄN</t>
        </is>
      </c>
      <c r="G387" t="inlineStr">
        <is>
          <t>RONNEBY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45394</v>
      </c>
      <c r="E388" s="1" t="n">
        <v>46300</v>
      </c>
      <c r="F388" t="inlineStr">
        <is>
          <t>BLEKINGE LÄN</t>
        </is>
      </c>
      <c r="G388" t="inlineStr">
        <is>
          <t>RONNEBY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46300</v>
      </c>
      <c r="F389" t="inlineStr">
        <is>
          <t>BLEKINGE LÄN</t>
        </is>
      </c>
      <c r="G389" t="inlineStr">
        <is>
          <t>RONNEBY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45402</v>
      </c>
      <c r="E390" s="1" t="n">
        <v>46300</v>
      </c>
      <c r="F390" t="inlineStr">
        <is>
          <t>BLEKINGE LÄN</t>
        </is>
      </c>
      <c r="G390" t="inlineStr">
        <is>
          <t>RONNEBY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45381</v>
      </c>
      <c r="E391" s="1" t="n">
        <v>46300</v>
      </c>
      <c r="F391" t="inlineStr">
        <is>
          <t>BLEKINGE LÄN</t>
        </is>
      </c>
      <c r="G391" t="inlineStr">
        <is>
          <t>RONNEBY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46300</v>
      </c>
      <c r="F392" t="inlineStr">
        <is>
          <t>BLEKINGE LÄN</t>
        </is>
      </c>
      <c r="G392" t="inlineStr">
        <is>
          <t>RONNEBY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46300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45354</v>
      </c>
      <c r="E394" s="1" t="n">
        <v>46300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46300</v>
      </c>
      <c r="F395" t="inlineStr">
        <is>
          <t>BLEKINGE LÄN</t>
        </is>
      </c>
      <c r="G395" t="inlineStr">
        <is>
          <t>RONNEBY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46300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46300</v>
      </c>
      <c r="F397" t="inlineStr">
        <is>
          <t>BLEKINGE LÄN</t>
        </is>
      </c>
      <c r="G397" t="inlineStr">
        <is>
          <t>RONNEBY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46300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46300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46300</v>
      </c>
      <c r="F400" t="inlineStr">
        <is>
          <t>BLEKINGE LÄN</t>
        </is>
      </c>
      <c r="G400" t="inlineStr">
        <is>
          <t>RONNEBY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46300</v>
      </c>
      <c r="F401" t="inlineStr">
        <is>
          <t>BLEKINGE LÄN</t>
        </is>
      </c>
      <c r="G401" t="inlineStr">
        <is>
          <t>RONNEBY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46300</v>
      </c>
      <c r="F402" t="inlineStr">
        <is>
          <t>BLEKINGE LÄN</t>
        </is>
      </c>
      <c r="G402" t="inlineStr">
        <is>
          <t>RONNEBY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46300</v>
      </c>
      <c r="F403" t="inlineStr">
        <is>
          <t>BLEKINGE LÄN</t>
        </is>
      </c>
      <c r="G403" t="inlineStr">
        <is>
          <t>RONNEBY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46300</v>
      </c>
      <c r="F404" t="inlineStr">
        <is>
          <t>BLEKINGE LÄN</t>
        </is>
      </c>
      <c r="G404" t="inlineStr">
        <is>
          <t>RONNEBY</t>
        </is>
      </c>
      <c r="H404" t="inlineStr">
        <is>
          <t>Kommuner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46300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46300</v>
      </c>
      <c r="F406" t="inlineStr">
        <is>
          <t>BLEKINGE LÄN</t>
        </is>
      </c>
      <c r="G406" t="inlineStr">
        <is>
          <t>RONNEBY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46300</v>
      </c>
      <c r="F407" t="inlineStr">
        <is>
          <t>BLEKINGE LÄN</t>
        </is>
      </c>
      <c r="G407" t="inlineStr">
        <is>
          <t>RONNEBY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46300</v>
      </c>
      <c r="F408" t="inlineStr">
        <is>
          <t>BLEKINGE LÄN</t>
        </is>
      </c>
      <c r="G408" t="inlineStr">
        <is>
          <t>RONNEBY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46300</v>
      </c>
      <c r="F409" t="inlineStr">
        <is>
          <t>BLEKINGE LÄN</t>
        </is>
      </c>
      <c r="G409" t="inlineStr">
        <is>
          <t>RONNEBY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46300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46300</v>
      </c>
      <c r="F411" t="inlineStr">
        <is>
          <t>BLEKINGE LÄN</t>
        </is>
      </c>
      <c r="G411" t="inlineStr">
        <is>
          <t>RONNEBY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45480</v>
      </c>
      <c r="E412" s="1" t="n">
        <v>46300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46300</v>
      </c>
      <c r="F413" t="inlineStr">
        <is>
          <t>BLEKINGE LÄN</t>
        </is>
      </c>
      <c r="G413" t="inlineStr">
        <is>
          <t>RONNEBY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46300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46300</v>
      </c>
      <c r="F415" t="inlineStr">
        <is>
          <t>BLEKINGE LÄN</t>
        </is>
      </c>
      <c r="G415" t="inlineStr">
        <is>
          <t>RONNEBY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46300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46300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46300</v>
      </c>
      <c r="F418" t="inlineStr">
        <is>
          <t>BLEKINGE LÄN</t>
        </is>
      </c>
      <c r="G418" t="inlineStr">
        <is>
          <t>RONNEBY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46300</v>
      </c>
      <c r="F419" t="inlineStr">
        <is>
          <t>BLEKINGE LÄN</t>
        </is>
      </c>
      <c r="G419" t="inlineStr">
        <is>
          <t>RONNEBY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46300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46300</v>
      </c>
      <c r="F421" t="inlineStr">
        <is>
          <t>BLEKINGE LÄN</t>
        </is>
      </c>
      <c r="G421" t="inlineStr">
        <is>
          <t>RONNEBY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45619</v>
      </c>
      <c r="E422" s="1" t="n">
        <v>46300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46300</v>
      </c>
      <c r="F423" t="inlineStr">
        <is>
          <t>BLEKINGE LÄN</t>
        </is>
      </c>
      <c r="G423" t="inlineStr">
        <is>
          <t>RONNEBY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46300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46300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46300</v>
      </c>
      <c r="F426" t="inlineStr">
        <is>
          <t>BLEKINGE LÄN</t>
        </is>
      </c>
      <c r="G426" t="inlineStr">
        <is>
          <t>RONNEBY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46300</v>
      </c>
      <c r="F427" t="inlineStr">
        <is>
          <t>BLEKINGE LÄN</t>
        </is>
      </c>
      <c r="G427" t="inlineStr">
        <is>
          <t>RONNEBY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44778</v>
      </c>
      <c r="E428" s="1" t="n">
        <v>46300</v>
      </c>
      <c r="F428" t="inlineStr">
        <is>
          <t>BLEKINGE LÄN</t>
        </is>
      </c>
      <c r="G428" t="inlineStr">
        <is>
          <t>RONNEBY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59840-2021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46300</v>
      </c>
      <c r="F429" t="inlineStr">
        <is>
          <t>BLEKINGE LÄN</t>
        </is>
      </c>
      <c r="G429" t="inlineStr">
        <is>
          <t>RONNEBY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46300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46300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58618-2021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44489</v>
      </c>
      <c r="E432" s="1" t="n">
        <v>46300</v>
      </c>
      <c r="F432" t="inlineStr">
        <is>
          <t>BLEKINGE LÄN</t>
        </is>
      </c>
      <c r="G432" t="inlineStr">
        <is>
          <t>RONNEBY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44762</v>
      </c>
      <c r="E433" s="1" t="n">
        <v>46300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46300</v>
      </c>
      <c r="F434" t="inlineStr">
        <is>
          <t>BLEKINGE LÄN</t>
        </is>
      </c>
      <c r="G434" t="inlineStr">
        <is>
          <t>RONNEBY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45921</v>
      </c>
      <c r="E435" s="1" t="n">
        <v>46300</v>
      </c>
      <c r="F435" t="inlineStr">
        <is>
          <t>BLEKINGE LÄN</t>
        </is>
      </c>
      <c r="G435" t="inlineStr">
        <is>
          <t>RONNEBY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44739</v>
      </c>
      <c r="E436" s="1" t="n">
        <v>46300</v>
      </c>
      <c r="F436" t="inlineStr">
        <is>
          <t>BLEKINGE LÄN</t>
        </is>
      </c>
      <c r="G436" t="inlineStr">
        <is>
          <t>RONNEBY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46300</v>
      </c>
      <c r="F437" t="inlineStr">
        <is>
          <t>BLEKINGE LÄN</t>
        </is>
      </c>
      <c r="G437" t="inlineStr">
        <is>
          <t>RONNEBY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46198</v>
      </c>
      <c r="E438" s="1" t="n">
        <v>46300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46300</v>
      </c>
      <c r="F439" t="inlineStr">
        <is>
          <t>BLEKINGE LÄN</t>
        </is>
      </c>
      <c r="G439" t="inlineStr">
        <is>
          <t>RONNEBY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46300</v>
      </c>
      <c r="F440" t="inlineStr">
        <is>
          <t>BLEKINGE LÄN</t>
        </is>
      </c>
      <c r="G440" t="inlineStr">
        <is>
          <t>RONNEBY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46300</v>
      </c>
      <c r="F441" t="inlineStr">
        <is>
          <t>BLEKINGE LÄN</t>
        </is>
      </c>
      <c r="G441" t="inlineStr">
        <is>
          <t>RONNEBY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46300</v>
      </c>
      <c r="F442" t="inlineStr">
        <is>
          <t>BLEKINGE LÄN</t>
        </is>
      </c>
      <c r="G442" t="inlineStr">
        <is>
          <t>RONNEBY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45086</v>
      </c>
      <c r="E443" s="1" t="n">
        <v>46300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46300</v>
      </c>
      <c r="F444" t="inlineStr">
        <is>
          <t>BLEKINGE LÄN</t>
        </is>
      </c>
      <c r="G444" t="inlineStr">
        <is>
          <t>RONNEBY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46300</v>
      </c>
      <c r="F445" t="inlineStr">
        <is>
          <t>BLEKINGE LÄN</t>
        </is>
      </c>
      <c r="G445" t="inlineStr">
        <is>
          <t>RONNEBY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46300</v>
      </c>
      <c r="F446" t="inlineStr">
        <is>
          <t>BLEKINGE LÄN</t>
        </is>
      </c>
      <c r="G446" t="inlineStr">
        <is>
          <t>RONNEBY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46300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41875-2022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44829</v>
      </c>
      <c r="E448" s="1" t="n">
        <v>46300</v>
      </c>
      <c r="F448" t="inlineStr">
        <is>
          <t>BLEKINGE LÄN</t>
        </is>
      </c>
      <c r="G448" t="inlineStr">
        <is>
          <t>RONNEBY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44956</v>
      </c>
      <c r="E449" s="1" t="n">
        <v>46300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39468-2023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46300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54532-2022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46300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46300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46300</v>
      </c>
      <c r="F453" t="inlineStr">
        <is>
          <t>BLEKINGE LÄN</t>
        </is>
      </c>
      <c r="G453" t="inlineStr">
        <is>
          <t>RONNEBY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44893</v>
      </c>
      <c r="E454" s="1" t="n">
        <v>46300</v>
      </c>
      <c r="F454" t="inlineStr">
        <is>
          <t>BLEKINGE LÄN</t>
        </is>
      </c>
      <c r="G454" t="inlineStr">
        <is>
          <t>RONNEBY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46300</v>
      </c>
      <c r="F455" t="inlineStr">
        <is>
          <t>BLEKINGE LÄN</t>
        </is>
      </c>
      <c r="G455" t="inlineStr">
        <is>
          <t>RONNEBY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46300</v>
      </c>
      <c r="F456" t="inlineStr">
        <is>
          <t>BLEKINGE LÄN</t>
        </is>
      </c>
      <c r="G456" t="inlineStr">
        <is>
          <t>RONNEBY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46300</v>
      </c>
      <c r="F457" t="inlineStr">
        <is>
          <t>BLEKINGE LÄN</t>
        </is>
      </c>
      <c r="G457" t="inlineStr">
        <is>
          <t>RONNEBY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46300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44972</v>
      </c>
      <c r="E459" s="1" t="n">
        <v>46300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46300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46300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45009</v>
      </c>
      <c r="E462" s="1" t="n">
        <v>46300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46300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46212</v>
      </c>
      <c r="E464" s="1" t="n">
        <v>46300</v>
      </c>
      <c r="F464" t="inlineStr">
        <is>
          <t>BLEKINGE LÄN</t>
        </is>
      </c>
      <c r="G464" t="inlineStr">
        <is>
          <t>RONNEBY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46300</v>
      </c>
      <c r="F465" t="inlineStr">
        <is>
          <t>BLEKINGE LÄN</t>
        </is>
      </c>
      <c r="G465" t="inlineStr">
        <is>
          <t>RONNEBY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46300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45062</v>
      </c>
      <c r="E467" s="1" t="n">
        <v>46300</v>
      </c>
      <c r="F467" t="inlineStr">
        <is>
          <t>BLEKINGE LÄN</t>
        </is>
      </c>
      <c r="G467" t="inlineStr">
        <is>
          <t>RONNEBY</t>
        </is>
      </c>
      <c r="H467" t="inlineStr">
        <is>
          <t>Kommuner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46300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46300</v>
      </c>
      <c r="F469" t="inlineStr">
        <is>
          <t>BLEKINGE LÄN</t>
        </is>
      </c>
      <c r="G469" t="inlineStr">
        <is>
          <t>RONNEBY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45342</v>
      </c>
      <c r="E470" s="1" t="n">
        <v>46300</v>
      </c>
      <c r="F470" t="inlineStr">
        <is>
          <t>BLEKINGE LÄN</t>
        </is>
      </c>
      <c r="G470" t="inlineStr">
        <is>
          <t>RONNEBY</t>
        </is>
      </c>
      <c r="I470" t="n">
        <v>15.2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22507-2022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46300</v>
      </c>
      <c r="F471" t="inlineStr">
        <is>
          <t>BLEKINGE LÄN</t>
        </is>
      </c>
      <c r="G471" t="inlineStr">
        <is>
          <t>RONNEBY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46300</v>
      </c>
      <c r="F472" t="inlineStr">
        <is>
          <t>BLEKINGE LÄN</t>
        </is>
      </c>
      <c r="G472" t="inlineStr">
        <is>
          <t>RONNEBY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46218</v>
      </c>
      <c r="E473" s="1" t="n">
        <v>46300</v>
      </c>
      <c r="F473" t="inlineStr">
        <is>
          <t>BLEKINGE LÄN</t>
        </is>
      </c>
      <c r="G473" t="inlineStr">
        <is>
          <t>RONNEBY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46259</v>
      </c>
      <c r="E474" s="1" t="n">
        <v>46300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46300</v>
      </c>
      <c r="F475" t="inlineStr">
        <is>
          <t>BLEKINGE LÄN</t>
        </is>
      </c>
      <c r="G475" t="inlineStr">
        <is>
          <t>RONNEBY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46300</v>
      </c>
      <c r="F476" t="inlineStr">
        <is>
          <t>BLEKINGE LÄN</t>
        </is>
      </c>
      <c r="G476" t="inlineStr">
        <is>
          <t>RONNEBY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46300</v>
      </c>
      <c r="F477" t="inlineStr">
        <is>
          <t>BLEKINGE LÄN</t>
        </is>
      </c>
      <c r="G477" t="inlineStr">
        <is>
          <t>RONNEBY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45426</v>
      </c>
      <c r="E478" s="1" t="n">
        <v>46300</v>
      </c>
      <c r="F478" t="inlineStr">
        <is>
          <t>BLEKINGE LÄN</t>
        </is>
      </c>
      <c r="G478" t="inlineStr">
        <is>
          <t>RONNEBY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46300</v>
      </c>
      <c r="F479" t="inlineStr">
        <is>
          <t>BLEKINGE LÄN</t>
        </is>
      </c>
      <c r="G479" t="inlineStr">
        <is>
          <t>RONNEBY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45588</v>
      </c>
      <c r="E480" s="1" t="n">
        <v>46300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45409-2023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46300</v>
      </c>
      <c r="F481" t="inlineStr">
        <is>
          <t>BLEKINGE LÄN</t>
        </is>
      </c>
      <c r="G481" t="inlineStr">
        <is>
          <t>RONNEBY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46300</v>
      </c>
      <c r="F482" t="inlineStr">
        <is>
          <t>BLEKINGE LÄN</t>
        </is>
      </c>
      <c r="G482" t="inlineStr">
        <is>
          <t>RONNEBY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44817</v>
      </c>
      <c r="E483" s="1" t="n">
        <v>46300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45559</v>
      </c>
      <c r="E484" s="1" t="n">
        <v>46300</v>
      </c>
      <c r="F484" t="inlineStr">
        <is>
          <t>BLEKINGE LÄN</t>
        </is>
      </c>
      <c r="G484" t="inlineStr">
        <is>
          <t>RONNEBY</t>
        </is>
      </c>
      <c r="H484" t="inlineStr">
        <is>
          <t>Övriga Aktiebolag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46300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46300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46300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45360</v>
      </c>
      <c r="E488" s="1" t="n">
        <v>46300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46300</v>
      </c>
      <c r="F489" t="inlineStr">
        <is>
          <t>BLEKINGE LÄN</t>
        </is>
      </c>
      <c r="G489" t="inlineStr">
        <is>
          <t>RONNEBY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46300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46300</v>
      </c>
      <c r="F491" t="inlineStr">
        <is>
          <t>BLEKINGE LÄN</t>
        </is>
      </c>
      <c r="G491" t="inlineStr">
        <is>
          <t>RONNEBY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45775</v>
      </c>
      <c r="E492" s="1" t="n">
        <v>46300</v>
      </c>
      <c r="F492" t="inlineStr">
        <is>
          <t>BLEKINGE LÄN</t>
        </is>
      </c>
      <c r="G492" t="inlineStr">
        <is>
          <t>RONNEBY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46300</v>
      </c>
      <c r="F493" t="inlineStr">
        <is>
          <t>BLEKINGE LÄN</t>
        </is>
      </c>
      <c r="G493" t="inlineStr">
        <is>
          <t>RONNEBY</t>
        </is>
      </c>
      <c r="H493" t="inlineStr">
        <is>
          <t>Kommuner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44945</v>
      </c>
      <c r="E494" s="1" t="n">
        <v>46300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46300</v>
      </c>
      <c r="F495" t="inlineStr">
        <is>
          <t>BLEKINGE LÄN</t>
        </is>
      </c>
      <c r="G495" t="inlineStr">
        <is>
          <t>RONNEBY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44606</v>
      </c>
      <c r="E496" s="1" t="n">
        <v>46300</v>
      </c>
      <c r="F496" t="inlineStr">
        <is>
          <t>BLEKINGE LÄN</t>
        </is>
      </c>
      <c r="G496" t="inlineStr">
        <is>
          <t>RONNEBY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46300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46300</v>
      </c>
      <c r="F498" t="inlineStr">
        <is>
          <t>BLEKINGE LÄN</t>
        </is>
      </c>
      <c r="G498" t="inlineStr">
        <is>
          <t>RONNEBY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46300</v>
      </c>
      <c r="F499" t="inlineStr">
        <is>
          <t>BLEKINGE LÄN</t>
        </is>
      </c>
      <c r="G499" t="inlineStr">
        <is>
          <t>RONNEBY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46300</v>
      </c>
      <c r="F500" t="inlineStr">
        <is>
          <t>BLEKINGE LÄN</t>
        </is>
      </c>
      <c r="G500" t="inlineStr">
        <is>
          <t>RONNEBY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45178</v>
      </c>
      <c r="E501" s="1" t="n">
        <v>46300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21989-2023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46300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45536</v>
      </c>
      <c r="E503" s="1" t="n">
        <v>46300</v>
      </c>
      <c r="F503" t="inlineStr">
        <is>
          <t>BLEKINGE LÄN</t>
        </is>
      </c>
      <c r="G503" t="inlineStr">
        <is>
          <t>RONNEBY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46272</v>
      </c>
      <c r="E504" s="1" t="n">
        <v>46300</v>
      </c>
      <c r="F504" t="inlineStr">
        <is>
          <t>BLEKINGE LÄN</t>
        </is>
      </c>
      <c r="G504" t="inlineStr">
        <is>
          <t>RONNEBY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46300</v>
      </c>
      <c r="F505" t="inlineStr">
        <is>
          <t>BLEKINGE LÄN</t>
        </is>
      </c>
      <c r="G505" t="inlineStr">
        <is>
          <t>RONNEBY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46229</v>
      </c>
      <c r="E506" s="1" t="n">
        <v>46300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46300</v>
      </c>
      <c r="F507" t="inlineStr">
        <is>
          <t>BLEKINGE LÄN</t>
        </is>
      </c>
      <c r="G507" t="inlineStr">
        <is>
          <t>RONNEBY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46279</v>
      </c>
      <c r="E508" s="1" t="n">
        <v>46300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46300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37576-2026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46276</v>
      </c>
      <c r="E510" s="1" t="n">
        <v>46300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38168-2026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46281</v>
      </c>
      <c r="E511" s="1" t="n">
        <v>46300</v>
      </c>
      <c r="F511" t="inlineStr">
        <is>
          <t>BLEKINGE LÄN</t>
        </is>
      </c>
      <c r="G511" t="inlineStr">
        <is>
          <t>RONNEBY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46300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46300</v>
      </c>
      <c r="F513" t="inlineStr">
        <is>
          <t>BLEKINGE LÄN</t>
        </is>
      </c>
      <c r="G513" t="inlineStr">
        <is>
          <t>RONNEBY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46300</v>
      </c>
      <c r="F514" t="inlineStr">
        <is>
          <t>BLEKINGE LÄN</t>
        </is>
      </c>
      <c r="G514" t="inlineStr">
        <is>
          <t>RONNEBY</t>
        </is>
      </c>
      <c r="H514" t="inlineStr">
        <is>
          <t>Kommuner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45193</v>
      </c>
      <c r="E515" s="1" t="n">
        <v>46300</v>
      </c>
      <c r="F515" t="inlineStr">
        <is>
          <t>BLEKINGE LÄN</t>
        </is>
      </c>
      <c r="G515" t="inlineStr">
        <is>
          <t>RONNEBY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46300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45085</v>
      </c>
      <c r="E517" s="1" t="n">
        <v>46300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46300</v>
      </c>
      <c r="F518" t="inlineStr">
        <is>
          <t>BLEKINGE LÄN</t>
        </is>
      </c>
      <c r="G518" t="inlineStr">
        <is>
          <t>RONNEBY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46300</v>
      </c>
      <c r="F519" t="inlineStr">
        <is>
          <t>BLEKINGE LÄN</t>
        </is>
      </c>
      <c r="G519" t="inlineStr">
        <is>
          <t>RONNEBY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46300</v>
      </c>
      <c r="F520" t="inlineStr">
        <is>
          <t>BLEKINGE LÄN</t>
        </is>
      </c>
      <c r="G520" t="inlineStr">
        <is>
          <t>RONNEBY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32537-2023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46300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46300</v>
      </c>
      <c r="F522" t="inlineStr">
        <is>
          <t>BLEKINGE LÄN</t>
        </is>
      </c>
      <c r="G522" t="inlineStr">
        <is>
          <t>RONNEBY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46300</v>
      </c>
      <c r="F523" t="inlineStr">
        <is>
          <t>BLEKINGE LÄN</t>
        </is>
      </c>
      <c r="G523" t="inlineStr">
        <is>
          <t>RONNEBY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45139</v>
      </c>
      <c r="E524" s="1" t="n">
        <v>46300</v>
      </c>
      <c r="F524" t="inlineStr">
        <is>
          <t>BLEKINGE LÄN</t>
        </is>
      </c>
      <c r="G524" t="inlineStr">
        <is>
          <t>RONNEBY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46300</v>
      </c>
      <c r="F525" t="inlineStr">
        <is>
          <t>BLEKINGE LÄN</t>
        </is>
      </c>
      <c r="G525" t="inlineStr">
        <is>
          <t>RONNEBY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46300</v>
      </c>
      <c r="F526" t="inlineStr">
        <is>
          <t>BLEKINGE LÄN</t>
        </is>
      </c>
      <c r="G526" t="inlineStr">
        <is>
          <t>RONNEBY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42167-2023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45178</v>
      </c>
      <c r="E527" s="1" t="n">
        <v>46300</v>
      </c>
      <c r="F527" t="inlineStr">
        <is>
          <t>BLEKINGE LÄN</t>
        </is>
      </c>
      <c r="G527" t="inlineStr">
        <is>
          <t>RONNEBY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46300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45201</v>
      </c>
      <c r="E529" s="1" t="n">
        <v>46300</v>
      </c>
      <c r="F529" t="inlineStr">
        <is>
          <t>BLEKINGE LÄN</t>
        </is>
      </c>
      <c r="G529" t="inlineStr">
        <is>
          <t>RONNEBY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46900-2023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46300</v>
      </c>
      <c r="F530" t="inlineStr">
        <is>
          <t>BLEKINGE LÄN</t>
        </is>
      </c>
      <c r="G530" t="inlineStr">
        <is>
          <t>RONNEBY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45027</v>
      </c>
      <c r="E531" s="1" t="n">
        <v>46300</v>
      </c>
      <c r="F531" t="inlineStr">
        <is>
          <t>BLEKINGE LÄN</t>
        </is>
      </c>
      <c r="G531" t="inlineStr">
        <is>
          <t>RONNEBY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46300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45378</v>
      </c>
      <c r="E533" s="1" t="n">
        <v>46300</v>
      </c>
      <c r="F533" t="inlineStr">
        <is>
          <t>BLEKINGE LÄN</t>
        </is>
      </c>
      <c r="G533" t="inlineStr">
        <is>
          <t>RONNEBY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45436</v>
      </c>
      <c r="E534" s="1" t="n">
        <v>46300</v>
      </c>
      <c r="F534" t="inlineStr">
        <is>
          <t>BLEKINGE LÄN</t>
        </is>
      </c>
      <c r="G534" t="inlineStr">
        <is>
          <t>RONNEBY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46300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45350</v>
      </c>
      <c r="E536" s="1" t="n">
        <v>46300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46300</v>
      </c>
      <c r="F537" t="inlineStr">
        <is>
          <t>BLEKINGE LÄN</t>
        </is>
      </c>
      <c r="G537" t="inlineStr">
        <is>
          <t>RONNEBY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45303</v>
      </c>
      <c r="E538" s="1" t="n">
        <v>46300</v>
      </c>
      <c r="F538" t="inlineStr">
        <is>
          <t>BLEKINGE LÄN</t>
        </is>
      </c>
      <c r="G538" t="inlineStr">
        <is>
          <t>RONNEBY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46300</v>
      </c>
      <c r="F539" t="inlineStr">
        <is>
          <t>BLEKINGE LÄN</t>
        </is>
      </c>
      <c r="G539" t="inlineStr">
        <is>
          <t>RONNEBY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46300</v>
      </c>
      <c r="F540" t="inlineStr">
        <is>
          <t>BLEKINGE LÄN</t>
        </is>
      </c>
      <c r="G540" t="inlineStr">
        <is>
          <t>RONNEBY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46300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46300</v>
      </c>
      <c r="F542" t="inlineStr">
        <is>
          <t>BLEKINGE LÄN</t>
        </is>
      </c>
      <c r="G542" t="inlineStr">
        <is>
          <t>RONNEBY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46292</v>
      </c>
      <c r="E543" s="1" t="n">
        <v>46300</v>
      </c>
      <c r="F543" t="inlineStr">
        <is>
          <t>BLEKINGE LÄN</t>
        </is>
      </c>
      <c r="G543" t="inlineStr">
        <is>
          <t>RONNEBY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44806</v>
      </c>
      <c r="E544" s="1" t="n">
        <v>46300</v>
      </c>
      <c r="F544" t="inlineStr">
        <is>
          <t>BLEKINGE LÄN</t>
        </is>
      </c>
      <c r="G544" t="inlineStr">
        <is>
          <t>RONNEBY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46300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46300</v>
      </c>
      <c r="F546" t="inlineStr">
        <is>
          <t>BLEKINGE LÄN</t>
        </is>
      </c>
      <c r="G546" t="inlineStr">
        <is>
          <t>RONNEBY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46300</v>
      </c>
      <c r="F547" t="inlineStr">
        <is>
          <t>BLEKINGE LÄN</t>
        </is>
      </c>
      <c r="G547" t="inlineStr">
        <is>
          <t>RONNEBY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46300</v>
      </c>
      <c r="F548" t="inlineStr">
        <is>
          <t>BLEKINGE LÄN</t>
        </is>
      </c>
      <c r="G548" t="inlineStr">
        <is>
          <t>RONNEBY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46300</v>
      </c>
      <c r="F549" t="inlineStr">
        <is>
          <t>BLEKINGE LÄN</t>
        </is>
      </c>
      <c r="G549" t="inlineStr">
        <is>
          <t>RONNEBY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46300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46300</v>
      </c>
      <c r="F551" t="inlineStr">
        <is>
          <t>BLEKINGE LÄN</t>
        </is>
      </c>
      <c r="G551" t="inlineStr">
        <is>
          <t>RONNEBY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46300</v>
      </c>
      <c r="F552" t="inlineStr">
        <is>
          <t>BLEKINGE LÄN</t>
        </is>
      </c>
      <c r="G552" t="inlineStr">
        <is>
          <t>RONNEBY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55079-2023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45237</v>
      </c>
      <c r="E553" s="1" t="n">
        <v>46300</v>
      </c>
      <c r="F553" t="inlineStr">
        <is>
          <t>BLEKINGE LÄN</t>
        </is>
      </c>
      <c r="G553" t="inlineStr">
        <is>
          <t>RONNEBY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31415-2022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44774</v>
      </c>
      <c r="E554" s="1" t="n">
        <v>46300</v>
      </c>
      <c r="F554" t="inlineStr">
        <is>
          <t>BLEKINGE LÄN</t>
        </is>
      </c>
      <c r="G554" t="inlineStr">
        <is>
          <t>RONNEBY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46300</v>
      </c>
      <c r="F555" t="inlineStr">
        <is>
          <t>BLEKINGE LÄN</t>
        </is>
      </c>
      <c r="G555" t="inlineStr">
        <is>
          <t>RONNEBY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45303</v>
      </c>
      <c r="E556" s="1" t="n">
        <v>46300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46300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46300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45430</v>
      </c>
      <c r="E559" s="1" t="n">
        <v>46300</v>
      </c>
      <c r="F559" t="inlineStr">
        <is>
          <t>BLEKINGE LÄN</t>
        </is>
      </c>
      <c r="G559" t="inlineStr">
        <is>
          <t>RONNEBY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44956</v>
      </c>
      <c r="E560" s="1" t="n">
        <v>46300</v>
      </c>
      <c r="F560" t="inlineStr">
        <is>
          <t>BLEKINGE LÄN</t>
        </is>
      </c>
      <c r="G560" t="inlineStr">
        <is>
          <t>RONNEBY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46300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46300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45428</v>
      </c>
      <c r="E563" s="1" t="n">
        <v>46300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46300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46300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45724</v>
      </c>
      <c r="E566" s="1" t="n">
        <v>46300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46300</v>
      </c>
      <c r="F567" t="inlineStr">
        <is>
          <t>BLEKINGE LÄN</t>
        </is>
      </c>
      <c r="G567" t="inlineStr">
        <is>
          <t>RONNEBY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41682-2024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45560</v>
      </c>
      <c r="E568" s="1" t="n">
        <v>46300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45408</v>
      </c>
      <c r="E569" s="1" t="n">
        <v>46300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45097</v>
      </c>
      <c r="E570" s="1" t="n">
        <v>46300</v>
      </c>
      <c r="F570" t="inlineStr">
        <is>
          <t>BLEKINGE LÄN</t>
        </is>
      </c>
      <c r="G570" t="inlineStr">
        <is>
          <t>RONNEBY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45189</v>
      </c>
      <c r="E571" s="1" t="n">
        <v>46300</v>
      </c>
      <c r="F571" t="inlineStr">
        <is>
          <t>BLEKINGE LÄN</t>
        </is>
      </c>
      <c r="G571" t="inlineStr">
        <is>
          <t>RONNEBY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46300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45006</v>
      </c>
      <c r="E573" s="1" t="n">
        <v>46300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33558-2023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45118</v>
      </c>
      <c r="E574" s="1" t="n">
        <v>46300</v>
      </c>
      <c r="F574" t="inlineStr">
        <is>
          <t>BLEKINGE LÄN</t>
        </is>
      </c>
      <c r="G574" t="inlineStr">
        <is>
          <t>RONNEBY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34451-2023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45139</v>
      </c>
      <c r="E575" s="1" t="n">
        <v>46300</v>
      </c>
      <c r="F575" t="inlineStr">
        <is>
          <t>BLEKINGE LÄN</t>
        </is>
      </c>
      <c r="G575" t="inlineStr">
        <is>
          <t>RONNEBY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45076</v>
      </c>
      <c r="E576" s="1" t="n">
        <v>46300</v>
      </c>
      <c r="F576" t="inlineStr">
        <is>
          <t>BLEKINGE LÄN</t>
        </is>
      </c>
      <c r="G576" t="inlineStr">
        <is>
          <t>RONNEBY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39925-2022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46300</v>
      </c>
      <c r="F577" t="inlineStr">
        <is>
          <t>BLEKINGE LÄN</t>
        </is>
      </c>
      <c r="G577" t="inlineStr">
        <is>
          <t>RONNEBY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46300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46300</v>
      </c>
      <c r="F579" t="inlineStr">
        <is>
          <t>BLEKINGE LÄN</t>
        </is>
      </c>
      <c r="G579" t="inlineStr">
        <is>
          <t>RONNEBY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38090-2024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46300</v>
      </c>
      <c r="F580" t="inlineStr">
        <is>
          <t>BLEKINGE LÄN</t>
        </is>
      </c>
      <c r="G580" t="inlineStr">
        <is>
          <t>RONNEBY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46300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46300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46300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46300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28704-2022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44748</v>
      </c>
      <c r="E585" s="1" t="n">
        <v>46300</v>
      </c>
      <c r="F585" t="inlineStr">
        <is>
          <t>BLEKINGE LÄN</t>
        </is>
      </c>
      <c r="G585" t="inlineStr">
        <is>
          <t>RONNEBY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45078</v>
      </c>
      <c r="E586" s="1" t="n">
        <v>46300</v>
      </c>
      <c r="F586" t="inlineStr">
        <is>
          <t>BLEKINGE LÄN</t>
        </is>
      </c>
      <c r="G586" t="inlineStr">
        <is>
          <t>RONNEBY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45327</v>
      </c>
      <c r="E587" s="1" t="n">
        <v>46300</v>
      </c>
      <c r="F587" t="inlineStr">
        <is>
          <t>BLEKINGE LÄN</t>
        </is>
      </c>
      <c r="G587" t="inlineStr">
        <is>
          <t>RONNEBY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46300</v>
      </c>
      <c r="F588" t="inlineStr">
        <is>
          <t>BLEKINGE LÄN</t>
        </is>
      </c>
      <c r="G588" t="inlineStr">
        <is>
          <t>RONNEBY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44980</v>
      </c>
      <c r="E589" s="1" t="n">
        <v>46300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46300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10920-2025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45722</v>
      </c>
      <c r="E591" s="1" t="n">
        <v>46300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45058</v>
      </c>
      <c r="E592" s="1" t="n">
        <v>46300</v>
      </c>
      <c r="F592" t="inlineStr">
        <is>
          <t>BLEKINGE LÄN</t>
        </is>
      </c>
      <c r="G592" t="inlineStr">
        <is>
          <t>RONNEBY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46300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45194</v>
      </c>
      <c r="E594" s="1" t="n">
        <v>46300</v>
      </c>
      <c r="F594" t="inlineStr">
        <is>
          <t>BLEKINGE LÄN</t>
        </is>
      </c>
      <c r="G594" t="inlineStr">
        <is>
          <t>RONNEBY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45057</v>
      </c>
      <c r="E595" s="1" t="n">
        <v>46300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46300</v>
      </c>
      <c r="F596" t="inlineStr">
        <is>
          <t>BLEKINGE LÄN</t>
        </is>
      </c>
      <c r="G596" t="inlineStr">
        <is>
          <t>RONNEBY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45012</v>
      </c>
      <c r="E597" s="1" t="n">
        <v>46300</v>
      </c>
      <c r="F597" t="inlineStr">
        <is>
          <t>BLEKINGE LÄN</t>
        </is>
      </c>
      <c r="G597" t="inlineStr">
        <is>
          <t>RONNEBY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44902</v>
      </c>
      <c r="E598" s="1" t="n">
        <v>46300</v>
      </c>
      <c r="F598" t="inlineStr">
        <is>
          <t>BLEKINGE LÄN</t>
        </is>
      </c>
      <c r="G598" t="inlineStr">
        <is>
          <t>RONNEBY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46300</v>
      </c>
      <c r="F599" t="inlineStr">
        <is>
          <t>BLEKINGE LÄN</t>
        </is>
      </c>
      <c r="G599" t="inlineStr">
        <is>
          <t>RONNEBY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38341-2024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46300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46300</v>
      </c>
      <c r="F601" t="inlineStr">
        <is>
          <t>BLEKINGE LÄN</t>
        </is>
      </c>
      <c r="G601" t="inlineStr">
        <is>
          <t>RONNEBY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46300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45104</v>
      </c>
      <c r="E603" s="1" t="n">
        <v>46300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46300</v>
      </c>
      <c r="F604" t="inlineStr">
        <is>
          <t>BLEKINGE LÄN</t>
        </is>
      </c>
      <c r="G604" t="inlineStr">
        <is>
          <t>RONNEBY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46300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45531</v>
      </c>
      <c r="E606" s="1" t="n">
        <v>46300</v>
      </c>
      <c r="F606" t="inlineStr">
        <is>
          <t>BLEKINGE LÄN</t>
        </is>
      </c>
      <c r="G606" t="inlineStr">
        <is>
          <t>RONNEBY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46300</v>
      </c>
      <c r="F607" t="inlineStr">
        <is>
          <t>BLEKINGE LÄN</t>
        </is>
      </c>
      <c r="G607" t="inlineStr">
        <is>
          <t>RONNEBY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46300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46300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46300</v>
      </c>
      <c r="F610" t="inlineStr">
        <is>
          <t>BLEKINGE LÄN</t>
        </is>
      </c>
      <c r="G610" t="inlineStr">
        <is>
          <t>RONNEBY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46300</v>
      </c>
      <c r="F611" t="inlineStr">
        <is>
          <t>BLEKINGE LÄN</t>
        </is>
      </c>
      <c r="G611" t="inlineStr">
        <is>
          <t>RONNEBY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29077-2023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46300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31122-2024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45502</v>
      </c>
      <c r="E613" s="1" t="n">
        <v>46300</v>
      </c>
      <c r="F613" t="inlineStr">
        <is>
          <t>BLEKINGE LÄN</t>
        </is>
      </c>
      <c r="G613" t="inlineStr">
        <is>
          <t>RONNEBY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46300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43056-2024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45567</v>
      </c>
      <c r="E615" s="1" t="n">
        <v>46300</v>
      </c>
      <c r="F615" t="inlineStr">
        <is>
          <t>BLEKINGE LÄN</t>
        </is>
      </c>
      <c r="G615" t="inlineStr">
        <is>
          <t>RONNEBY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46300</v>
      </c>
      <c r="F616" t="inlineStr">
        <is>
          <t>BLEKINGE LÄN</t>
        </is>
      </c>
      <c r="G616" t="inlineStr">
        <is>
          <t>RONNEBY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46300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46300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46300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46300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46300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46300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46300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46300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46300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46300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46300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46300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46300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46300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46300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46300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46300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2026-10-05T01:51:05Z</dcterms:created>
  <dcterms:modified xmlns:dcterms="http://purl.org/dc/terms/" xmlns:xsi="http://www.w3.org/2001/XMLSchema-instance" xsi:type="dcterms:W3CDTF">2026-10-05T01:51:06Z</dcterms:modified>
</cp:coreProperties>
</file>