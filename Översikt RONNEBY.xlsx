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46257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46257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46257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46257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46257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46257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7</v>
      </c>
      <c r="U7" t="n">
        <v>6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46257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46257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46257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46257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46257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46257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46257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46257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46257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46257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46257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46257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47800-2024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45588</v>
      </c>
      <c r="E20" s="1" t="n">
        <v>46257</v>
      </c>
      <c r="F20" t="inlineStr">
        <is>
          <t>BLEKINGE LÄN</t>
        </is>
      </c>
      <c r="G20" t="inlineStr">
        <is>
          <t>RONNEBY</t>
        </is>
      </c>
      <c r="H20" t="inlineStr">
        <is>
          <t>Kommuner</t>
        </is>
      </c>
      <c r="I20" t="n">
        <v>5.8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taggsvamp
Tjockfotad fingersvamp</t>
        </is>
      </c>
      <c r="W20">
        <f>HYPERLINK("https://klasma.github.io/Logging_1081/artfynd/A 47800-2024 artfynd.xlsx", "A 47800-2024")</f>
        <v/>
      </c>
      <c r="X20">
        <f>HYPERLINK("https://klasma.github.io/Logging_1081/kartor/A 47800-2024 karta.png", "A 47800-2024")</f>
        <v/>
      </c>
      <c r="Y20">
        <f>HYPERLINK("https://klasma.github.io/Logging_1081/kartor_geotiff/A 47800-2024 georefererad karta.tif", "A 47800-2024")</f>
        <v/>
      </c>
      <c r="AA20">
        <f>HYPERLINK("https://klasma.github.io/Logging_1081/klagomål/A 47800-2024 FSC-klagomål.docx", "A 47800-2024")</f>
        <v/>
      </c>
      <c r="AB20">
        <f>HYPERLINK("https://klasma.github.io/Logging_1081/klagomålsmail/A 47800-2024 FSC-klagomål mail.docx", "A 47800-2024")</f>
        <v/>
      </c>
      <c r="AC20">
        <f>HYPERLINK("https://klasma.github.io/Logging_1081/tillsyn/A 47800-2024 tillsynsbegäran.docx", "A 47800-2024")</f>
        <v/>
      </c>
      <c r="AD20">
        <f>HYPERLINK("https://klasma.github.io/Logging_1081/tillsynsmail/A 47800-2024 tillsynsbegäran mail.docx", "A 47800-2024")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46257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46257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46257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12131-2023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46257</v>
      </c>
      <c r="F24" t="inlineStr">
        <is>
          <t>BLEKINGE LÄN</t>
        </is>
      </c>
      <c r="G24" t="inlineStr">
        <is>
          <t>RONNEBY</t>
        </is>
      </c>
      <c r="I24" t="n">
        <v>3.8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Svarthakad buskskvätta
Trana</t>
        </is>
      </c>
      <c r="W24">
        <f>HYPERLINK("https://klasma.github.io/Logging_1081/artfynd/A 12131-2023 artfynd.xlsx", "A 12131-2023")</f>
        <v/>
      </c>
      <c r="X24">
        <f>HYPERLINK("https://klasma.github.io/Logging_1081/kartor/A 12131-2023 karta.png", "A 12131-2023")</f>
        <v/>
      </c>
      <c r="Y24">
        <f>HYPERLINK("https://klasma.github.io/Logging_1081/kartor_geotiff/A 12131-2023 georefererad karta.tif", "A 12131-2023")</f>
        <v/>
      </c>
      <c r="AA24">
        <f>HYPERLINK("https://klasma.github.io/Logging_1081/klagomål/A 12131-2023 FSC-klagomål.docx", "A 12131-2023")</f>
        <v/>
      </c>
      <c r="AB24">
        <f>HYPERLINK("https://klasma.github.io/Logging_1081/klagomålsmail/A 12131-2023 FSC-klagomål mail.docx", "A 12131-2023")</f>
        <v/>
      </c>
      <c r="AC24">
        <f>HYPERLINK("https://klasma.github.io/Logging_1081/tillsyn/A 12131-2023 tillsynsbegäran.docx", "A 12131-2023")</f>
        <v/>
      </c>
      <c r="AD24">
        <f>HYPERLINK("https://klasma.github.io/Logging_1081/tillsynsmail/A 12131-2023 tillsynsbegäran mail.docx", "A 12131-2023")</f>
        <v/>
      </c>
      <c r="AE24">
        <f>HYPERLINK("https://klasma.github.io/Logging_1081/fåglar/A 12131-2023 prioriterade fågelarter.docx", "A 12131-2023")</f>
        <v/>
      </c>
    </row>
    <row r="25" ht="15" customHeight="1">
      <c r="A25" t="inlineStr">
        <is>
          <t>A 55678-2022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46257</v>
      </c>
      <c r="F25" t="inlineStr">
        <is>
          <t>BLEKINGE LÄN</t>
        </is>
      </c>
      <c r="G25" t="inlineStr">
        <is>
          <t>RONNEBY</t>
        </is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Röd glada</t>
        </is>
      </c>
      <c r="W25">
        <f>HYPERLINK("https://klasma.github.io/Logging_1081/artfynd/A 55678-2022 artfynd.xlsx", "A 55678-2022")</f>
        <v/>
      </c>
      <c r="X25">
        <f>HYPERLINK("https://klasma.github.io/Logging_1081/kartor/A 55678-2022 karta.png", "A 55678-2022")</f>
        <v/>
      </c>
      <c r="Y25">
        <f>HYPERLINK("https://klasma.github.io/Logging_1081/kartor_geotiff/A 55678-2022 georefererad karta.tif", "A 55678-2022")</f>
        <v/>
      </c>
      <c r="AA25">
        <f>HYPERLINK("https://klasma.github.io/Logging_1081/klagomål/A 55678-2022 FSC-klagomål.docx", "A 55678-2022")</f>
        <v/>
      </c>
      <c r="AB25">
        <f>HYPERLINK("https://klasma.github.io/Logging_1081/klagomålsmail/A 55678-2022 FSC-klagomål mail.docx", "A 55678-2022")</f>
        <v/>
      </c>
      <c r="AC25">
        <f>HYPERLINK("https://klasma.github.io/Logging_1081/tillsyn/A 55678-2022 tillsynsbegäran.docx", "A 55678-2022")</f>
        <v/>
      </c>
      <c r="AD25">
        <f>HYPERLINK("https://klasma.github.io/Logging_1081/tillsynsmail/A 55678-2022 tillsynsbegäran mail.docx", "A 55678-2022")</f>
        <v/>
      </c>
      <c r="AE25">
        <f>HYPERLINK("https://klasma.github.io/Logging_1081/fåglar/A 55678-2022 prioriterade fågelarter.docx", "A 55678-2022")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46257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S 1695-2020</t>
        </is>
      </c>
      <c r="B27" t="inlineStr">
        <is>
          <t>samrådsanmälan</t>
        </is>
      </c>
      <c r="C27" t="inlineStr">
        <is>
          <t>Åtgärd i nyckelbiotop</t>
        </is>
      </c>
      <c r="D27" s="1" t="n">
        <v>44039</v>
      </c>
      <c r="E27" s="1" t="n">
        <v>46257</v>
      </c>
      <c r="F27" t="inlineStr">
        <is>
          <t>BLEKINGE LÄN</t>
        </is>
      </c>
      <c r="G27" t="inlineStr">
        <is>
          <t>RONNEBY</t>
        </is>
      </c>
      <c r="I27" t="n">
        <v>0.1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Gammelekslav
Grå skärelav</t>
        </is>
      </c>
      <c r="W27">
        <f>HYPERLINK("https://klasma.github.io/Logging_1081/artfynd/S 1695-2020 artfynd.xlsx", "S 1695-2020")</f>
        <v/>
      </c>
      <c r="X27">
        <f>HYPERLINK("https://klasma.github.io/Logging_1081/kartor/S 1695-2020 karta.png", "S 1695-2020")</f>
        <v/>
      </c>
      <c r="Y27">
        <f>HYPERLINK("https://klasma.github.io/Logging_1081/kartor_geotiff/S 1695-2020 georefererad karta.tif", "S 1695-2020")</f>
        <v/>
      </c>
      <c r="AA27">
        <f>HYPERLINK("https://klasma.github.io/Logging_1081/klagomål/S 1695-2020 FSC-klagomål.docx", "S 1695-2020")</f>
        <v/>
      </c>
      <c r="AB27">
        <f>HYPERLINK("https://klasma.github.io/Logging_1081/klagomålsmail/S 1695-2020 FSC-klagomål mail.docx", "S 1695-2020")</f>
        <v/>
      </c>
      <c r="AC27">
        <f>HYPERLINK("https://klasma.github.io/Logging_1081/tillsyn/S 1695-2020 tillsynsbegäran.docx", "S 1695-2020")</f>
        <v/>
      </c>
      <c r="AD27">
        <f>HYPERLINK("https://klasma.github.io/Logging_1081/tillsynsmail/S 1695-2020 tillsynsbegäran mail.docx", "S 1695-2020")</f>
        <v/>
      </c>
    </row>
    <row r="28" ht="15" customHeight="1">
      <c r="A28" t="inlineStr">
        <is>
          <t>A 43246-2021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44432</v>
      </c>
      <c r="E28" s="1" t="n">
        <v>46257</v>
      </c>
      <c r="F28" t="inlineStr">
        <is>
          <t>BLEKINGE LÄN</t>
        </is>
      </c>
      <c r="G28" t="inlineStr">
        <is>
          <t>RONNEBY</t>
        </is>
      </c>
      <c r="I28" t="n">
        <v>0.2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HYPERLINK("https://klasma.github.io/Logging_1081/artfynd/A 43246-2021 artfynd.xlsx", "A 43246-2021")</f>
        <v/>
      </c>
      <c r="X28">
        <f>HYPERLINK("https://klasma.github.io/Logging_1081/kartor/A 43246-2021 karta.png", "A 43246-2021")</f>
        <v/>
      </c>
      <c r="Y28">
        <f>HYPERLINK("https://klasma.github.io/Logging_1081/kartor_geotiff/A 43246-2021 georefererad karta.tif", "A 43246-2021")</f>
        <v/>
      </c>
      <c r="AA28">
        <f>HYPERLINK("https://klasma.github.io/Logging_1081/klagomål/A 43246-2021 FSC-klagomål.docx", "A 43246-2021")</f>
        <v/>
      </c>
      <c r="AB28">
        <f>HYPERLINK("https://klasma.github.io/Logging_1081/klagomålsmail/A 43246-2021 FSC-klagomål mail.docx", "A 43246-2021")</f>
        <v/>
      </c>
      <c r="AC28">
        <f>HYPERLINK("https://klasma.github.io/Logging_1081/tillsyn/A 43246-2021 tillsynsbegäran.docx", "A 43246-2021")</f>
        <v/>
      </c>
      <c r="AD28">
        <f>HYPERLINK("https://klasma.github.io/Logging_1081/tillsynsmail/A 43246-2021 tillsynsbegäran mail.docx", "A 43246-2021")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46257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46257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8961-2024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45357</v>
      </c>
      <c r="E31" s="1" t="n">
        <v>46257</v>
      </c>
      <c r="F31" t="inlineStr">
        <is>
          <t>BLEKINGE LÄN</t>
        </is>
      </c>
      <c r="G31" t="inlineStr">
        <is>
          <t>RONNEBY</t>
        </is>
      </c>
      <c r="I31" t="n">
        <v>19.7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HYPERLINK("https://klasma.github.io/Logging_1081/artfynd/A 8961-2024 artfynd.xlsx", "A 8961-2024")</f>
        <v/>
      </c>
      <c r="X31">
        <f>HYPERLINK("https://klasma.github.io/Logging_1081/kartor/A 8961-2024 karta.png", "A 8961-2024")</f>
        <v/>
      </c>
      <c r="Y31">
        <f>HYPERLINK("https://klasma.github.io/Logging_1081/kartor_geotiff/A 8961-2024 georefererad karta.tif", "A 8961-2024")</f>
        <v/>
      </c>
      <c r="AA31">
        <f>HYPERLINK("https://klasma.github.io/Logging_1081/klagomål/A 8961-2024 FSC-klagomål.docx", "A 8961-2024")</f>
        <v/>
      </c>
      <c r="AB31">
        <f>HYPERLINK("https://klasma.github.io/Logging_1081/klagomålsmail/A 8961-2024 FSC-klagomål mail.docx", "A 8961-2024")</f>
        <v/>
      </c>
      <c r="AC31">
        <f>HYPERLINK("https://klasma.github.io/Logging_1081/tillsyn/A 8961-2024 tillsynsbegäran.docx", "A 8961-2024")</f>
        <v/>
      </c>
      <c r="AD31">
        <f>HYPERLINK("https://klasma.github.io/Logging_1081/tillsynsmail/A 8961-2024 tillsynsbegäran mail.docx", "A 8961-2024")</f>
        <v/>
      </c>
    </row>
    <row r="32" ht="15" customHeight="1">
      <c r="A32" t="inlineStr">
        <is>
          <t>A 45413-2023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45194</v>
      </c>
      <c r="E32" s="1" t="n">
        <v>46257</v>
      </c>
      <c r="F32" t="inlineStr">
        <is>
          <t>BLEKINGE LÄN</t>
        </is>
      </c>
      <c r="G32" t="inlineStr">
        <is>
          <t>RONNEBY</t>
        </is>
      </c>
      <c r="I32" t="n">
        <v>2.2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Jungfrulin</t>
        </is>
      </c>
      <c r="W32">
        <f>HYPERLINK("https://klasma.github.io/Logging_1081/artfynd/A 45413-2023 artfynd.xlsx", "A 45413-2023")</f>
        <v/>
      </c>
      <c r="X32">
        <f>HYPERLINK("https://klasma.github.io/Logging_1081/kartor/A 45413-2023 karta.png", "A 45413-2023")</f>
        <v/>
      </c>
      <c r="Y32">
        <f>HYPERLINK("https://klasma.github.io/Logging_1081/kartor_geotiff/A 45413-2023 georefererad karta.tif", "A 45413-2023")</f>
        <v/>
      </c>
      <c r="AA32">
        <f>HYPERLINK("https://klasma.github.io/Logging_1081/klagomål/A 45413-2023 FSC-klagomål.docx", "A 45413-2023")</f>
        <v/>
      </c>
      <c r="AB32">
        <f>HYPERLINK("https://klasma.github.io/Logging_1081/klagomålsmail/A 45413-2023 FSC-klagomål mail.docx", "A 45413-2023")</f>
        <v/>
      </c>
      <c r="AC32">
        <f>HYPERLINK("https://klasma.github.io/Logging_1081/tillsyn/A 45413-2023 tillsynsbegäran.docx", "A 45413-2023")</f>
        <v/>
      </c>
      <c r="AD32">
        <f>HYPERLINK("https://klasma.github.io/Logging_1081/tillsynsmail/A 45413-2023 tillsynsbegäran mail.docx", "A 45413-2023")</f>
        <v/>
      </c>
    </row>
    <row r="33" ht="15" customHeight="1">
      <c r="A33" t="inlineStr">
        <is>
          <t>A 9309-2023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46257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0.9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Tibast</t>
        </is>
      </c>
      <c r="W33">
        <f>HYPERLINK("https://klasma.github.io/Logging_1081/artfynd/A 9309-2023 artfynd.xlsx", "A 9309-2023")</f>
        <v/>
      </c>
      <c r="X33">
        <f>HYPERLINK("https://klasma.github.io/Logging_1081/kartor/A 9309-2023 karta.png", "A 9309-2023")</f>
        <v/>
      </c>
      <c r="Y33">
        <f>HYPERLINK("https://klasma.github.io/Logging_1081/kartor_geotiff/A 9309-2023 georefererad karta.tif", "A 9309-2023")</f>
        <v/>
      </c>
      <c r="AA33">
        <f>HYPERLINK("https://klasma.github.io/Logging_1081/klagomål/A 9309-2023 FSC-klagomål.docx", "A 9309-2023")</f>
        <v/>
      </c>
      <c r="AB33">
        <f>HYPERLINK("https://klasma.github.io/Logging_1081/klagomålsmail/A 9309-2023 FSC-klagomål mail.docx", "A 9309-2023")</f>
        <v/>
      </c>
      <c r="AC33">
        <f>HYPERLINK("https://klasma.github.io/Logging_1081/tillsyn/A 9309-2023 tillsynsbegäran.docx", "A 9309-2023")</f>
        <v/>
      </c>
      <c r="AD33">
        <f>HYPERLINK("https://klasma.github.io/Logging_1081/tillsynsmail/A 9309-2023 tillsynsbegäran mail.docx", "A 9309-2023")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46257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45186-2021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46257</v>
      </c>
      <c r="F35" t="inlineStr">
        <is>
          <t>BLEKINGE LÄN</t>
        </is>
      </c>
      <c r="G35" t="inlineStr">
        <is>
          <t>RONNEBY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 glada</t>
        </is>
      </c>
      <c r="W35">
        <f>HYPERLINK("https://klasma.github.io/Logging_1081/artfynd/A 45186-2021 artfynd.xlsx", "A 45186-2021")</f>
        <v/>
      </c>
      <c r="X35">
        <f>HYPERLINK("https://klasma.github.io/Logging_1081/kartor/A 45186-2021 karta.png", "A 45186-2021")</f>
        <v/>
      </c>
      <c r="Y35">
        <f>HYPERLINK("https://klasma.github.io/Logging_1081/kartor_geotiff/A 45186-2021 georefererad karta.tif", "A 45186-2021")</f>
        <v/>
      </c>
      <c r="AA35">
        <f>HYPERLINK("https://klasma.github.io/Logging_1081/klagomål/A 45186-2021 FSC-klagomål.docx", "A 45186-2021")</f>
        <v/>
      </c>
      <c r="AB35">
        <f>HYPERLINK("https://klasma.github.io/Logging_1081/klagomålsmail/A 45186-2021 FSC-klagomål mail.docx", "A 45186-2021")</f>
        <v/>
      </c>
      <c r="AC35">
        <f>HYPERLINK("https://klasma.github.io/Logging_1081/tillsyn/A 45186-2021 tillsynsbegäran.docx", "A 45186-2021")</f>
        <v/>
      </c>
      <c r="AD35">
        <f>HYPERLINK("https://klasma.github.io/Logging_1081/tillsynsmail/A 45186-2021 tillsynsbegäran mail.docx", "A 45186-2021")</f>
        <v/>
      </c>
      <c r="AE35">
        <f>HYPERLINK("https://klasma.github.io/Logging_1081/fåglar/A 45186-2021 prioriterade fågelarter.docx", "A 45186-2021")</f>
        <v/>
      </c>
    </row>
    <row r="36" ht="15" customHeight="1">
      <c r="A36" t="inlineStr">
        <is>
          <t>A 41053-2024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45559</v>
      </c>
      <c r="E36" s="1" t="n">
        <v>46257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Hårklomossa</t>
        </is>
      </c>
      <c r="W36">
        <f>HYPERLINK("https://klasma.github.io/Logging_1081/artfynd/A 41053-2024 artfynd.xlsx", "A 41053-2024")</f>
        <v/>
      </c>
      <c r="X36">
        <f>HYPERLINK("https://klasma.github.io/Logging_1081/kartor/A 41053-2024 karta.png", "A 41053-2024")</f>
        <v/>
      </c>
      <c r="Y36">
        <f>HYPERLINK("https://klasma.github.io/Logging_1081/kartor_geotiff/A 41053-2024 georefererad karta.tif", "A 41053-2024")</f>
        <v/>
      </c>
      <c r="AA36">
        <f>HYPERLINK("https://klasma.github.io/Logging_1081/klagomål/A 41053-2024 FSC-klagomål.docx", "A 41053-2024")</f>
        <v/>
      </c>
      <c r="AB36">
        <f>HYPERLINK("https://klasma.github.io/Logging_1081/klagomålsmail/A 41053-2024 FSC-klagomål mail.docx", "A 41053-2024")</f>
        <v/>
      </c>
      <c r="AC36">
        <f>HYPERLINK("https://klasma.github.io/Logging_1081/tillsyn/A 41053-2024 tillsynsbegäran.docx", "A 41053-2024")</f>
        <v/>
      </c>
      <c r="AD36">
        <f>HYPERLINK("https://klasma.github.io/Logging_1081/tillsynsmail/A 41053-2024 tillsynsbegäran mail.docx", "A 41053-2024")</f>
        <v/>
      </c>
    </row>
    <row r="37" ht="15" customHeight="1">
      <c r="A37" t="inlineStr">
        <is>
          <t>A 25104-2026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46257</v>
      </c>
      <c r="F37" t="inlineStr">
        <is>
          <t>BLEKINGE LÄN</t>
        </is>
      </c>
      <c r="G37" t="inlineStr">
        <is>
          <t>RONNEBY</t>
        </is>
      </c>
      <c r="I37" t="n">
        <v>1.1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Backsippa</t>
        </is>
      </c>
      <c r="W37">
        <f>HYPERLINK("https://klasma.github.io/Logging_1081/artfynd/A 25104-2026 artfynd.xlsx", "A 25104-2026")</f>
        <v/>
      </c>
      <c r="X37">
        <f>HYPERLINK("https://klasma.github.io/Logging_1081/kartor/A 25104-2026 karta.png", "A 25104-2026")</f>
        <v/>
      </c>
      <c r="Y37">
        <f>HYPERLINK("https://klasma.github.io/Logging_1081/kartor_geotiff/A 25104-2026 georefererad karta.tif", "A 25104-2026")</f>
        <v/>
      </c>
      <c r="AA37">
        <f>HYPERLINK("https://klasma.github.io/Logging_1081/klagomål/A 25104-2026 FSC-klagomål.docx", "A 25104-2026")</f>
        <v/>
      </c>
      <c r="AB37">
        <f>HYPERLINK("https://klasma.github.io/Logging_1081/klagomålsmail/A 25104-2026 FSC-klagomål mail.docx", "A 25104-2026")</f>
        <v/>
      </c>
      <c r="AC37">
        <f>HYPERLINK("https://klasma.github.io/Logging_1081/tillsyn/A 25104-2026 tillsynsbegäran.docx", "A 25104-2026")</f>
        <v/>
      </c>
      <c r="AD37">
        <f>HYPERLINK("https://klasma.github.io/Logging_1081/tillsynsmail/A 25104-2026 tillsynsbegäran mail.docx", "A 25104-2026")</f>
        <v/>
      </c>
    </row>
    <row r="38" ht="15" customHeight="1">
      <c r="A38" t="inlineStr">
        <is>
          <t>A 26288-2026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46257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1.6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Havstulpanlav</t>
        </is>
      </c>
      <c r="W38">
        <f>HYPERLINK("https://klasma.github.io/Logging_1081/artfynd/A 26288-2026 artfynd.xlsx", "A 26288-2026")</f>
        <v/>
      </c>
      <c r="X38">
        <f>HYPERLINK("https://klasma.github.io/Logging_1081/kartor/A 26288-2026 karta.png", "A 26288-2026")</f>
        <v/>
      </c>
      <c r="Y38">
        <f>HYPERLINK("https://klasma.github.io/Logging_1081/kartor_geotiff/A 26288-2026 georefererad karta.tif", "A 26288-2026")</f>
        <v/>
      </c>
      <c r="AA38">
        <f>HYPERLINK("https://klasma.github.io/Logging_1081/klagomål/A 26288-2026 FSC-klagomål.docx", "A 26288-2026")</f>
        <v/>
      </c>
      <c r="AB38">
        <f>HYPERLINK("https://klasma.github.io/Logging_1081/klagomålsmail/A 26288-2026 FSC-klagomål mail.docx", "A 26288-2026")</f>
        <v/>
      </c>
      <c r="AC38">
        <f>HYPERLINK("https://klasma.github.io/Logging_1081/tillsyn/A 26288-2026 tillsynsbegäran.docx", "A 26288-2026")</f>
        <v/>
      </c>
      <c r="AD38">
        <f>HYPERLINK("https://klasma.github.io/Logging_1081/tillsynsmail/A 26288-2026 tillsynsbegäran mail.docx", "A 26288-2026")</f>
        <v/>
      </c>
    </row>
    <row r="39" ht="15" customHeight="1">
      <c r="A39" t="inlineStr">
        <is>
          <t>A 26114-2026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46257</v>
      </c>
      <c r="F39" t="inlineStr">
        <is>
          <t>BLEKINGE LÄN</t>
        </is>
      </c>
      <c r="G39" t="inlineStr">
        <is>
          <t>RONNEBY</t>
        </is>
      </c>
      <c r="I39" t="n">
        <v>1.3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HYPERLINK("https://klasma.github.io/Logging_1081/artfynd/A 26114-2026 artfynd.xlsx", "A 26114-2026")</f>
        <v/>
      </c>
      <c r="X39">
        <f>HYPERLINK("https://klasma.github.io/Logging_1081/kartor/A 26114-2026 karta.png", "A 26114-2026")</f>
        <v/>
      </c>
      <c r="Y39">
        <f>HYPERLINK("https://klasma.github.io/Logging_1081/kartor_geotiff/A 26114-2026 georefererad karta.tif", "A 26114-2026")</f>
        <v/>
      </c>
      <c r="AA39">
        <f>HYPERLINK("https://klasma.github.io/Logging_1081/klagomål/A 26114-2026 FSC-klagomål.docx", "A 26114-2026")</f>
        <v/>
      </c>
      <c r="AB39">
        <f>HYPERLINK("https://klasma.github.io/Logging_1081/klagomålsmail/A 26114-2026 FSC-klagomål mail.docx", "A 26114-2026")</f>
        <v/>
      </c>
      <c r="AC39">
        <f>HYPERLINK("https://klasma.github.io/Logging_1081/tillsyn/A 26114-2026 tillsynsbegäran.docx", "A 26114-2026")</f>
        <v/>
      </c>
      <c r="AD39">
        <f>HYPERLINK("https://klasma.github.io/Logging_1081/tillsynsmail/A 26114-2026 tillsynsbegäran mail.docx", "A 26114-2026")</f>
        <v/>
      </c>
    </row>
    <row r="40" ht="15" customHeight="1">
      <c r="A40" t="inlineStr">
        <is>
          <t>A 12660-2026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46091</v>
      </c>
      <c r="E40" s="1" t="n">
        <v>46257</v>
      </c>
      <c r="F40" t="inlineStr">
        <is>
          <t>BLEKINGE LÄN</t>
        </is>
      </c>
      <c r="G40" t="inlineStr">
        <is>
          <t>RONNEBY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HYPERLINK("https://klasma.github.io/Logging_1081/artfynd/A 12660-2026 artfynd.xlsx", "A 12660-2026")</f>
        <v/>
      </c>
      <c r="X40">
        <f>HYPERLINK("https://klasma.github.io/Logging_1081/kartor/A 12660-2026 karta.png", "A 12660-2026")</f>
        <v/>
      </c>
      <c r="Y40">
        <f>HYPERLINK("https://klasma.github.io/Logging_1081/kartor_geotiff/A 12660-2026 georefererad karta.tif", "A 12660-2026")</f>
        <v/>
      </c>
      <c r="AA40">
        <f>HYPERLINK("https://klasma.github.io/Logging_1081/klagomål/A 12660-2026 FSC-klagomål.docx", "A 12660-2026")</f>
        <v/>
      </c>
      <c r="AB40">
        <f>HYPERLINK("https://klasma.github.io/Logging_1081/klagomålsmail/A 12660-2026 FSC-klagomål mail.docx", "A 12660-2026")</f>
        <v/>
      </c>
      <c r="AC40">
        <f>HYPERLINK("https://klasma.github.io/Logging_1081/tillsyn/A 12660-2026 tillsynsbegäran.docx", "A 12660-2026")</f>
        <v/>
      </c>
      <c r="AD40">
        <f>HYPERLINK("https://klasma.github.io/Logging_1081/tillsynsmail/A 12660-2026 tillsynsbegäran mail.docx", "A 12660-2026")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46257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19471-2026 artfynd.xlsx", "A 19471-2026")</f>
        <v/>
      </c>
      <c r="X41">
        <f>HYPERLINK("https://klasma.github.io/Logging_1081/kartor/A 19471-2026 karta.png", "A 19471-2026")</f>
        <v/>
      </c>
      <c r="Y41">
        <f>HYPERLINK("https://klasma.github.io/Logging_1081/kartor_geotiff/A 19471-2026 georefererad karta.tif", "A 19471-2026")</f>
        <v/>
      </c>
      <c r="AA41">
        <f>HYPERLINK("https://klasma.github.io/Logging_1081/klagomål/A 19471-2026 FSC-klagomål.docx", "A 19471-2026")</f>
        <v/>
      </c>
      <c r="AB41">
        <f>HYPERLINK("https://klasma.github.io/Logging_1081/klagomålsmail/A 19471-2026 FSC-klagomål mail.docx", "A 19471-2026")</f>
        <v/>
      </c>
      <c r="AC41">
        <f>HYPERLINK("https://klasma.github.io/Logging_1081/tillsyn/A 19471-2026 tillsynsbegäran.docx", "A 19471-2026")</f>
        <v/>
      </c>
      <c r="AD41">
        <f>HYPERLINK("https://klasma.github.io/Logging_1081/tillsynsmail/A 19471-2026 tillsynsbegäran mail.docx", "A 19471-2026")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46257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46257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46257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46257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46257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46257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46257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46257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46257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46257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46257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46257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46257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46257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46257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46257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46257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46257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46257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46257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46257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46257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46257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46257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46257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46257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46257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46257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46257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46257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46257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46257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46257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46257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44762</v>
      </c>
      <c r="E76" s="1" t="n">
        <v>46257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46257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46257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46257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46257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46257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46257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46257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46257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46257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46257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46257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46257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46257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46257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46257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44434</v>
      </c>
      <c r="E92" s="1" t="n">
        <v>46257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46257</v>
      </c>
      <c r="F93" t="inlineStr">
        <is>
          <t>BLEKINGE LÄN</t>
        </is>
      </c>
      <c r="G93" t="inlineStr">
        <is>
          <t>RONNEBY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46257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46257</v>
      </c>
      <c r="F95" t="inlineStr">
        <is>
          <t>BLEKINGE LÄN</t>
        </is>
      </c>
      <c r="G95" t="inlineStr">
        <is>
          <t>RONNEBY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66288-2021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46257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46257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46257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46257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46257</v>
      </c>
      <c r="F100" t="inlineStr">
        <is>
          <t>BLEKINGE LÄN</t>
        </is>
      </c>
      <c r="G100" t="inlineStr">
        <is>
          <t>RONNEBY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46257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46257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46257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46257</v>
      </c>
      <c r="F104" t="inlineStr">
        <is>
          <t>BLEKINGE LÄN</t>
        </is>
      </c>
      <c r="G104" t="inlineStr">
        <is>
          <t>RONNEBY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46257</v>
      </c>
      <c r="F105" t="inlineStr">
        <is>
          <t>BLEKINGE LÄN</t>
        </is>
      </c>
      <c r="G105" t="inlineStr">
        <is>
          <t>RONNEBY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46257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44637</v>
      </c>
      <c r="E107" s="1" t="n">
        <v>46257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46257</v>
      </c>
      <c r="F108" t="inlineStr">
        <is>
          <t>BLEKINGE LÄN</t>
        </is>
      </c>
      <c r="G108" t="inlineStr">
        <is>
          <t>RONNEBY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46257</v>
      </c>
      <c r="F109" t="inlineStr">
        <is>
          <t>BLEKINGE LÄN</t>
        </is>
      </c>
      <c r="G109" t="inlineStr">
        <is>
          <t>RONNEBY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45433-2023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45194</v>
      </c>
      <c r="E110" s="1" t="n">
        <v>46257</v>
      </c>
      <c r="F110" t="inlineStr">
        <is>
          <t>BLEKINGE LÄN</t>
        </is>
      </c>
      <c r="G110" t="inlineStr">
        <is>
          <t>RONNEBY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46257</v>
      </c>
      <c r="F111" t="inlineStr">
        <is>
          <t>BLEKINGE LÄN</t>
        </is>
      </c>
      <c r="G111" t="inlineStr">
        <is>
          <t>RONNEBY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71769-2021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46257</v>
      </c>
      <c r="F112" t="inlineStr">
        <is>
          <t>BLEKINGE LÄN</t>
        </is>
      </c>
      <c r="G112" t="inlineStr">
        <is>
          <t>RONNEBY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45247</v>
      </c>
      <c r="E113" s="1" t="n">
        <v>46257</v>
      </c>
      <c r="F113" t="inlineStr">
        <is>
          <t>BLEKINGE LÄN</t>
        </is>
      </c>
      <c r="G113" t="inlineStr">
        <is>
          <t>RONNEBY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45579</v>
      </c>
      <c r="E114" s="1" t="n">
        <v>46257</v>
      </c>
      <c r="F114" t="inlineStr">
        <is>
          <t>BLEKINGE LÄN</t>
        </is>
      </c>
      <c r="G114" t="inlineStr">
        <is>
          <t>RONNEBY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44586</v>
      </c>
      <c r="E115" s="1" t="n">
        <v>46257</v>
      </c>
      <c r="F115" t="inlineStr">
        <is>
          <t>BLEKINGE LÄN</t>
        </is>
      </c>
      <c r="G115" t="inlineStr">
        <is>
          <t>RONNEBY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30197-2024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45490</v>
      </c>
      <c r="E116" s="1" t="n">
        <v>46257</v>
      </c>
      <c r="F116" t="inlineStr">
        <is>
          <t>BLEKINGE LÄN</t>
        </is>
      </c>
      <c r="G116" t="inlineStr">
        <is>
          <t>RONNEBY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46257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44713</v>
      </c>
      <c r="E118" s="1" t="n">
        <v>46257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25861-2025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45803</v>
      </c>
      <c r="E119" s="1" t="n">
        <v>46257</v>
      </c>
      <c r="F119" t="inlineStr">
        <is>
          <t>BLEKINGE LÄN</t>
        </is>
      </c>
      <c r="G119" t="inlineStr">
        <is>
          <t>RONNEBY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45785</v>
      </c>
      <c r="E120" s="1" t="n">
        <v>46257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46257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45743</v>
      </c>
      <c r="E122" s="1" t="n">
        <v>46257</v>
      </c>
      <c r="F122" t="inlineStr">
        <is>
          <t>BLEKINGE LÄN</t>
        </is>
      </c>
      <c r="G122" t="inlineStr">
        <is>
          <t>RONNEBY</t>
        </is>
      </c>
      <c r="H122" t="inlineStr">
        <is>
          <t>Kommuner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24629-2024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45460</v>
      </c>
      <c r="E123" s="1" t="n">
        <v>46257</v>
      </c>
      <c r="F123" t="inlineStr">
        <is>
          <t>BLEKINGE LÄN</t>
        </is>
      </c>
      <c r="G123" t="inlineStr">
        <is>
          <t>RONNEBY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44762</v>
      </c>
      <c r="E124" s="1" t="n">
        <v>46257</v>
      </c>
      <c r="F124" t="inlineStr">
        <is>
          <t>BLEKINGE LÄN</t>
        </is>
      </c>
      <c r="G124" t="inlineStr">
        <is>
          <t>RONNEBY</t>
        </is>
      </c>
      <c r="H124" t="inlineStr">
        <is>
          <t>Övriga Aktiebolag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45104</v>
      </c>
      <c r="E125" s="1" t="n">
        <v>46257</v>
      </c>
      <c r="F125" t="inlineStr">
        <is>
          <t>BLEKINGE LÄN</t>
        </is>
      </c>
      <c r="G125" t="inlineStr">
        <is>
          <t>RONNEBY</t>
        </is>
      </c>
      <c r="H125" t="inlineStr">
        <is>
          <t>Övriga Aktiebolag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46257</v>
      </c>
      <c r="F126" t="inlineStr">
        <is>
          <t>BLEKINGE LÄN</t>
        </is>
      </c>
      <c r="G126" t="inlineStr">
        <is>
          <t>RONNEBY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10737-2022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44627</v>
      </c>
      <c r="E127" s="1" t="n">
        <v>46257</v>
      </c>
      <c r="F127" t="inlineStr">
        <is>
          <t>BLEKINGE LÄN</t>
        </is>
      </c>
      <c r="G127" t="inlineStr">
        <is>
          <t>RONNEBY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46257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44630</v>
      </c>
      <c r="E129" s="1" t="n">
        <v>46257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1909-2023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44939</v>
      </c>
      <c r="E130" s="1" t="n">
        <v>46257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64459-2023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45280</v>
      </c>
      <c r="E131" s="1" t="n">
        <v>46257</v>
      </c>
      <c r="F131" t="inlineStr">
        <is>
          <t>BLEKINGE LÄN</t>
        </is>
      </c>
      <c r="G131" t="inlineStr">
        <is>
          <t>RONNEBY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64466-2023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45280</v>
      </c>
      <c r="E132" s="1" t="n">
        <v>46257</v>
      </c>
      <c r="F132" t="inlineStr">
        <is>
          <t>BLEKINGE LÄN</t>
        </is>
      </c>
      <c r="G132" t="inlineStr">
        <is>
          <t>RONNEBY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45706</v>
      </c>
      <c r="E133" s="1" t="n">
        <v>46257</v>
      </c>
      <c r="F133" t="inlineStr">
        <is>
          <t>BLEKINGE LÄN</t>
        </is>
      </c>
      <c r="G133" t="inlineStr">
        <is>
          <t>RONNEBY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46257</v>
      </c>
      <c r="F134" t="inlineStr">
        <is>
          <t>BLEKINGE LÄN</t>
        </is>
      </c>
      <c r="G134" t="inlineStr">
        <is>
          <t>RONNEBY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46257</v>
      </c>
      <c r="F135" t="inlineStr">
        <is>
          <t>BLEKINGE LÄN</t>
        </is>
      </c>
      <c r="G135" t="inlineStr">
        <is>
          <t>RONNEBY</t>
        </is>
      </c>
      <c r="H135" t="inlineStr">
        <is>
          <t>Övriga Aktiebolag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45432</v>
      </c>
      <c r="E136" s="1" t="n">
        <v>46257</v>
      </c>
      <c r="F136" t="inlineStr">
        <is>
          <t>BLEKINGE LÄN</t>
        </is>
      </c>
      <c r="G136" t="inlineStr">
        <is>
          <t>RONNEBY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59007-2022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46257</v>
      </c>
      <c r="F137" t="inlineStr">
        <is>
          <t>BLEKINGE LÄN</t>
        </is>
      </c>
      <c r="G137" t="inlineStr">
        <is>
          <t>RONNEBY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46257</v>
      </c>
      <c r="F138" t="inlineStr">
        <is>
          <t>BLEKINGE LÄN</t>
        </is>
      </c>
      <c r="G138" t="inlineStr">
        <is>
          <t>RONNEBY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28975-2023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45104</v>
      </c>
      <c r="E139" s="1" t="n">
        <v>46257</v>
      </c>
      <c r="F139" t="inlineStr">
        <is>
          <t>BLEKINGE LÄN</t>
        </is>
      </c>
      <c r="G139" t="inlineStr">
        <is>
          <t>RONNEBY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46257</v>
      </c>
      <c r="F140" t="inlineStr">
        <is>
          <t>BLEKINGE LÄN</t>
        </is>
      </c>
      <c r="G140" t="inlineStr">
        <is>
          <t>RONNEBY</t>
        </is>
      </c>
      <c r="H140" t="inlineStr">
        <is>
          <t>Övriga Aktiebolag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45602</v>
      </c>
      <c r="E141" s="1" t="n">
        <v>46257</v>
      </c>
      <c r="F141" t="inlineStr">
        <is>
          <t>BLEKINGE LÄN</t>
        </is>
      </c>
      <c r="G141" t="inlineStr">
        <is>
          <t>RONNEBY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46257</v>
      </c>
      <c r="F142" t="inlineStr">
        <is>
          <t>BLEKINGE LÄN</t>
        </is>
      </c>
      <c r="G142" t="inlineStr">
        <is>
          <t>RONNEBY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46257</v>
      </c>
      <c r="F143" t="inlineStr">
        <is>
          <t>BLEKINGE LÄN</t>
        </is>
      </c>
      <c r="G143" t="inlineStr">
        <is>
          <t>RONNEBY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45892</v>
      </c>
      <c r="E144" s="1" t="n">
        <v>46257</v>
      </c>
      <c r="F144" t="inlineStr">
        <is>
          <t>BLEKINGE LÄN</t>
        </is>
      </c>
      <c r="G144" t="inlineStr">
        <is>
          <t>RONNEBY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44848</v>
      </c>
      <c r="E145" s="1" t="n">
        <v>46257</v>
      </c>
      <c r="F145" t="inlineStr">
        <is>
          <t>BLEKINGE LÄN</t>
        </is>
      </c>
      <c r="G145" t="inlineStr">
        <is>
          <t>RONNEBY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46257</v>
      </c>
      <c r="F146" t="inlineStr">
        <is>
          <t>BLEKINGE LÄN</t>
        </is>
      </c>
      <c r="G146" t="inlineStr">
        <is>
          <t>RONNEBY</t>
        </is>
      </c>
      <c r="H146" t="inlineStr">
        <is>
          <t>Övriga Aktiebolag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44916</v>
      </c>
      <c r="E147" s="1" t="n">
        <v>46257</v>
      </c>
      <c r="F147" t="inlineStr">
        <is>
          <t>BLEKINGE LÄN</t>
        </is>
      </c>
      <c r="G147" t="inlineStr">
        <is>
          <t>RONNEBY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46257</v>
      </c>
      <c r="F148" t="inlineStr">
        <is>
          <t>BLEKINGE LÄN</t>
        </is>
      </c>
      <c r="G148" t="inlineStr">
        <is>
          <t>RONNEBY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45121</v>
      </c>
      <c r="E149" s="1" t="n">
        <v>46257</v>
      </c>
      <c r="F149" t="inlineStr">
        <is>
          <t>BLEKINGE LÄN</t>
        </is>
      </c>
      <c r="G149" t="inlineStr">
        <is>
          <t>RONNEBY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46257</v>
      </c>
      <c r="F150" t="inlineStr">
        <is>
          <t>BLEKINGE LÄN</t>
        </is>
      </c>
      <c r="G150" t="inlineStr">
        <is>
          <t>RONNEBY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46257</v>
      </c>
      <c r="F151" t="inlineStr">
        <is>
          <t>BLEKINGE LÄN</t>
        </is>
      </c>
      <c r="G151" t="inlineStr">
        <is>
          <t>RONNEBY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46257</v>
      </c>
      <c r="F152" t="inlineStr">
        <is>
          <t>BLEKINGE LÄN</t>
        </is>
      </c>
      <c r="G152" t="inlineStr">
        <is>
          <t>RONNEBY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45505</v>
      </c>
      <c r="E153" s="1" t="n">
        <v>46257</v>
      </c>
      <c r="F153" t="inlineStr">
        <is>
          <t>BLEKINGE LÄN</t>
        </is>
      </c>
      <c r="G153" t="inlineStr">
        <is>
          <t>RONNEBY</t>
        </is>
      </c>
      <c r="H153" t="inlineStr">
        <is>
          <t>Kommuner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45266</v>
      </c>
      <c r="E154" s="1" t="n">
        <v>46257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33598-2025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46257</v>
      </c>
      <c r="F155" t="inlineStr">
        <is>
          <t>BLEKINGE LÄN</t>
        </is>
      </c>
      <c r="G155" t="inlineStr">
        <is>
          <t>RONNEBY</t>
        </is>
      </c>
      <c r="I155" t="n">
        <v>9.199999999999999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45749</v>
      </c>
      <c r="E156" s="1" t="n">
        <v>46257</v>
      </c>
      <c r="F156" t="inlineStr">
        <is>
          <t>BLEKINGE LÄN</t>
        </is>
      </c>
      <c r="G156" t="inlineStr">
        <is>
          <t>RONNEBY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54065-2024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45616</v>
      </c>
      <c r="E157" s="1" t="n">
        <v>46257</v>
      </c>
      <c r="F157" t="inlineStr">
        <is>
          <t>BLEKINGE LÄN</t>
        </is>
      </c>
      <c r="G157" t="inlineStr">
        <is>
          <t>RONNEBY</t>
        </is>
      </c>
      <c r="H157" t="inlineStr">
        <is>
          <t>Kommuner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45053</v>
      </c>
      <c r="E158" s="1" t="n">
        <v>46257</v>
      </c>
      <c r="F158" t="inlineStr">
        <is>
          <t>BLEKINGE LÄN</t>
        </is>
      </c>
      <c r="G158" t="inlineStr">
        <is>
          <t>RONNEBY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46257</v>
      </c>
      <c r="F159" t="inlineStr">
        <is>
          <t>BLEKINGE LÄN</t>
        </is>
      </c>
      <c r="G159" t="inlineStr">
        <is>
          <t>RONNEBY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45843</v>
      </c>
      <c r="E160" s="1" t="n">
        <v>46257</v>
      </c>
      <c r="F160" t="inlineStr">
        <is>
          <t>BLEKINGE LÄN</t>
        </is>
      </c>
      <c r="G160" t="inlineStr">
        <is>
          <t>RONNEBY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45807</v>
      </c>
      <c r="E161" s="1" t="n">
        <v>46257</v>
      </c>
      <c r="F161" t="inlineStr">
        <is>
          <t>BLEKINGE LÄN</t>
        </is>
      </c>
      <c r="G161" t="inlineStr">
        <is>
          <t>RONNEBY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45413</v>
      </c>
      <c r="E162" s="1" t="n">
        <v>46257</v>
      </c>
      <c r="F162" t="inlineStr">
        <is>
          <t>BLEKINGE LÄN</t>
        </is>
      </c>
      <c r="G162" t="inlineStr">
        <is>
          <t>RONNEBY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19438-2024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46257</v>
      </c>
      <c r="F163" t="inlineStr">
        <is>
          <t>BLEKINGE LÄN</t>
        </is>
      </c>
      <c r="G163" t="inlineStr">
        <is>
          <t>RONNEBY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46257</v>
      </c>
      <c r="F164" t="inlineStr">
        <is>
          <t>BLEKINGE LÄN</t>
        </is>
      </c>
      <c r="G164" t="inlineStr">
        <is>
          <t>RONNEBY</t>
        </is>
      </c>
      <c r="H164" t="inlineStr">
        <is>
          <t>Övriga Aktiebolag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46257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46257</v>
      </c>
      <c r="F166" t="inlineStr">
        <is>
          <t>BLEKINGE LÄN</t>
        </is>
      </c>
      <c r="G166" t="inlineStr">
        <is>
          <t>RONNEBY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46257</v>
      </c>
      <c r="F167" t="inlineStr">
        <is>
          <t>BLEKINGE LÄN</t>
        </is>
      </c>
      <c r="G167" t="inlineStr">
        <is>
          <t>RONNEBY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45775</v>
      </c>
      <c r="E168" s="1" t="n">
        <v>46257</v>
      </c>
      <c r="F168" t="inlineStr">
        <is>
          <t>BLEKINGE LÄN</t>
        </is>
      </c>
      <c r="G168" t="inlineStr">
        <is>
          <t>RONNEBY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43291-2025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45910</v>
      </c>
      <c r="E169" s="1" t="n">
        <v>46257</v>
      </c>
      <c r="F169" t="inlineStr">
        <is>
          <t>BLEKINGE LÄN</t>
        </is>
      </c>
      <c r="G169" t="inlineStr">
        <is>
          <t>RONNEBY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49833-2024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45597</v>
      </c>
      <c r="E170" s="1" t="n">
        <v>46257</v>
      </c>
      <c r="F170" t="inlineStr">
        <is>
          <t>BLEKINGE LÄN</t>
        </is>
      </c>
      <c r="G170" t="inlineStr">
        <is>
          <t>RONNEBY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46257</v>
      </c>
      <c r="F171" t="inlineStr">
        <is>
          <t>BLEKINGE LÄN</t>
        </is>
      </c>
      <c r="G171" t="inlineStr">
        <is>
          <t>RONNEBY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57773-2024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46257</v>
      </c>
      <c r="F172" t="inlineStr">
        <is>
          <t>BLEKINGE LÄN</t>
        </is>
      </c>
      <c r="G172" t="inlineStr">
        <is>
          <t>RONNEBY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46257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44944</v>
      </c>
      <c r="E174" s="1" t="n">
        <v>46257</v>
      </c>
      <c r="F174" t="inlineStr">
        <is>
          <t>BLEKINGE LÄN</t>
        </is>
      </c>
      <c r="G174" t="inlineStr">
        <is>
          <t>RONNEBY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22490-2023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45071</v>
      </c>
      <c r="E175" s="1" t="n">
        <v>46257</v>
      </c>
      <c r="F175" t="inlineStr">
        <is>
          <t>BLEKINGE LÄN</t>
        </is>
      </c>
      <c r="G175" t="inlineStr">
        <is>
          <t>RONNEBY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46257</v>
      </c>
      <c r="F176" t="inlineStr">
        <is>
          <t>BLEKINGE LÄN</t>
        </is>
      </c>
      <c r="G176" t="inlineStr">
        <is>
          <t>RONNEBY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46257</v>
      </c>
      <c r="F177" t="inlineStr">
        <is>
          <t>BLEKINGE LÄN</t>
        </is>
      </c>
      <c r="G177" t="inlineStr">
        <is>
          <t>RONNEBY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46257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46257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46257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44617</v>
      </c>
      <c r="E181" s="1" t="n">
        <v>46257</v>
      </c>
      <c r="F181" t="inlineStr">
        <is>
          <t>BLEKINGE LÄN</t>
        </is>
      </c>
      <c r="G181" t="inlineStr">
        <is>
          <t>RONNEBY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46257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46257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46257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45019</v>
      </c>
      <c r="E185" s="1" t="n">
        <v>46257</v>
      </c>
      <c r="F185" t="inlineStr">
        <is>
          <t>BLEKINGE LÄN</t>
        </is>
      </c>
      <c r="G185" t="inlineStr">
        <is>
          <t>RONNEBY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46257</v>
      </c>
      <c r="F186" t="inlineStr">
        <is>
          <t>BLEKINGE LÄN</t>
        </is>
      </c>
      <c r="G186" t="inlineStr">
        <is>
          <t>RONNEBY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46257</v>
      </c>
      <c r="F187" t="inlineStr">
        <is>
          <t>BLEKINGE LÄN</t>
        </is>
      </c>
      <c r="G187" t="inlineStr">
        <is>
          <t>RONNEBY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46257</v>
      </c>
      <c r="F188" t="inlineStr">
        <is>
          <t>BLEKINGE LÄN</t>
        </is>
      </c>
      <c r="G188" t="inlineStr">
        <is>
          <t>RONNEBY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44967-2025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46257</v>
      </c>
      <c r="F189" t="inlineStr">
        <is>
          <t>BLEKINGE LÄN</t>
        </is>
      </c>
      <c r="G189" t="inlineStr">
        <is>
          <t>RONNEBY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45196</v>
      </c>
      <c r="E190" s="1" t="n">
        <v>46257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44756</v>
      </c>
      <c r="E191" s="1" t="n">
        <v>46257</v>
      </c>
      <c r="F191" t="inlineStr">
        <is>
          <t>BLEKINGE LÄN</t>
        </is>
      </c>
      <c r="G191" t="inlineStr">
        <is>
          <t>RONNEBY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45085</v>
      </c>
      <c r="E192" s="1" t="n">
        <v>46257</v>
      </c>
      <c r="F192" t="inlineStr">
        <is>
          <t>BLEKINGE LÄN</t>
        </is>
      </c>
      <c r="G192" t="inlineStr">
        <is>
          <t>RONNEBY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46257</v>
      </c>
      <c r="F193" t="inlineStr">
        <is>
          <t>BLEKINGE LÄN</t>
        </is>
      </c>
      <c r="G193" t="inlineStr">
        <is>
          <t>RONNEBY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46257</v>
      </c>
      <c r="F194" t="inlineStr">
        <is>
          <t>BLEKINGE LÄN</t>
        </is>
      </c>
      <c r="G194" t="inlineStr">
        <is>
          <t>RONNEBY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32142-2025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46257</v>
      </c>
      <c r="F195" t="inlineStr">
        <is>
          <t>BLEKINGE LÄN</t>
        </is>
      </c>
      <c r="G195" t="inlineStr">
        <is>
          <t>RONNEBY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45012</v>
      </c>
      <c r="E196" s="1" t="n">
        <v>46257</v>
      </c>
      <c r="F196" t="inlineStr">
        <is>
          <t>BLEKINGE LÄN</t>
        </is>
      </c>
      <c r="G196" t="inlineStr">
        <is>
          <t>RONNEBY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46257</v>
      </c>
      <c r="F197" t="inlineStr">
        <is>
          <t>BLEKINGE LÄN</t>
        </is>
      </c>
      <c r="G197" t="inlineStr">
        <is>
          <t>RONNEBY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46257</v>
      </c>
      <c r="F198" t="inlineStr">
        <is>
          <t>BLEKINGE LÄN</t>
        </is>
      </c>
      <c r="G198" t="inlineStr">
        <is>
          <t>RONNEBY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45462</v>
      </c>
      <c r="E199" s="1" t="n">
        <v>46257</v>
      </c>
      <c r="F199" t="inlineStr">
        <is>
          <t>BLEKINGE LÄN</t>
        </is>
      </c>
      <c r="G199" t="inlineStr">
        <is>
          <t>RONNEBY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44987</v>
      </c>
      <c r="E200" s="1" t="n">
        <v>46257</v>
      </c>
      <c r="F200" t="inlineStr">
        <is>
          <t>BLEKINGE LÄN</t>
        </is>
      </c>
      <c r="G200" t="inlineStr">
        <is>
          <t>RONNEBY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46257</v>
      </c>
      <c r="F201" t="inlineStr">
        <is>
          <t>BLEKINGE LÄN</t>
        </is>
      </c>
      <c r="G201" t="inlineStr">
        <is>
          <t>RONNEBY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45328</v>
      </c>
      <c r="E202" s="1" t="n">
        <v>46257</v>
      </c>
      <c r="F202" t="inlineStr">
        <is>
          <t>BLEKINGE LÄN</t>
        </is>
      </c>
      <c r="G202" t="inlineStr">
        <is>
          <t>RONNEBY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45588</v>
      </c>
      <c r="E203" s="1" t="n">
        <v>46257</v>
      </c>
      <c r="F203" t="inlineStr">
        <is>
          <t>BLEKINGE LÄN</t>
        </is>
      </c>
      <c r="G203" t="inlineStr">
        <is>
          <t>RONNEBY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44944</v>
      </c>
      <c r="E204" s="1" t="n">
        <v>46257</v>
      </c>
      <c r="F204" t="inlineStr">
        <is>
          <t>BLEKINGE LÄN</t>
        </is>
      </c>
      <c r="G204" t="inlineStr">
        <is>
          <t>RONNEBY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46257</v>
      </c>
      <c r="F205" t="inlineStr">
        <is>
          <t>BLEKINGE LÄN</t>
        </is>
      </c>
      <c r="G205" t="inlineStr">
        <is>
          <t>RONNEBY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46257</v>
      </c>
      <c r="F206" t="inlineStr">
        <is>
          <t>BLEKINGE LÄN</t>
        </is>
      </c>
      <c r="G206" t="inlineStr">
        <is>
          <t>RONNEBY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46257</v>
      </c>
      <c r="F207" t="inlineStr">
        <is>
          <t>BLEKINGE LÄN</t>
        </is>
      </c>
      <c r="G207" t="inlineStr">
        <is>
          <t>RONNEBY</t>
        </is>
      </c>
      <c r="I207" t="n">
        <v>9.199999999999999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46257</v>
      </c>
      <c r="F208" t="inlineStr">
        <is>
          <t>BLEKINGE LÄN</t>
        </is>
      </c>
      <c r="G208" t="inlineStr">
        <is>
          <t>RONNEBY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62932-2023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46257</v>
      </c>
      <c r="F209" t="inlineStr">
        <is>
          <t>BLEKINGE LÄN</t>
        </is>
      </c>
      <c r="G209" t="inlineStr">
        <is>
          <t>RONNEBY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45310</v>
      </c>
      <c r="E210" s="1" t="n">
        <v>46257</v>
      </c>
      <c r="F210" t="inlineStr">
        <is>
          <t>BLEKINGE LÄN</t>
        </is>
      </c>
      <c r="G210" t="inlineStr">
        <is>
          <t>RONNEBY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46257</v>
      </c>
      <c r="F211" t="inlineStr">
        <is>
          <t>BLEKINGE LÄN</t>
        </is>
      </c>
      <c r="G211" t="inlineStr">
        <is>
          <t>RONNEBY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46257</v>
      </c>
      <c r="F212" t="inlineStr">
        <is>
          <t>BLEKINGE LÄN</t>
        </is>
      </c>
      <c r="G212" t="inlineStr">
        <is>
          <t>RONNEBY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46257</v>
      </c>
      <c r="F213" t="inlineStr">
        <is>
          <t>BLEKINGE LÄN</t>
        </is>
      </c>
      <c r="G213" t="inlineStr">
        <is>
          <t>RONNEBY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10767-2022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44627</v>
      </c>
      <c r="E214" s="1" t="n">
        <v>46257</v>
      </c>
      <c r="F214" t="inlineStr">
        <is>
          <t>BLEKINGE LÄN</t>
        </is>
      </c>
      <c r="G214" t="inlineStr">
        <is>
          <t>RONNEBY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19609-2024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45432</v>
      </c>
      <c r="E215" s="1" t="n">
        <v>46257</v>
      </c>
      <c r="F215" t="inlineStr">
        <is>
          <t>BLEKINGE LÄN</t>
        </is>
      </c>
      <c r="G215" t="inlineStr">
        <is>
          <t>RONNEBY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44966</v>
      </c>
      <c r="E216" s="1" t="n">
        <v>46257</v>
      </c>
      <c r="F216" t="inlineStr">
        <is>
          <t>BLEKINGE LÄN</t>
        </is>
      </c>
      <c r="G216" t="inlineStr">
        <is>
          <t>RONNEBY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45001</v>
      </c>
      <c r="E217" s="1" t="n">
        <v>46257</v>
      </c>
      <c r="F217" t="inlineStr">
        <is>
          <t>BLEKINGE LÄN</t>
        </is>
      </c>
      <c r="G217" t="inlineStr">
        <is>
          <t>RONNEBY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45001</v>
      </c>
      <c r="E218" s="1" t="n">
        <v>46257</v>
      </c>
      <c r="F218" t="inlineStr">
        <is>
          <t>BLEKINGE LÄN</t>
        </is>
      </c>
      <c r="G218" t="inlineStr">
        <is>
          <t>RONNEBY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45505</v>
      </c>
      <c r="E219" s="1" t="n">
        <v>46257</v>
      </c>
      <c r="F219" t="inlineStr">
        <is>
          <t>BLEKINGE LÄN</t>
        </is>
      </c>
      <c r="G219" t="inlineStr">
        <is>
          <t>RONNEBY</t>
        </is>
      </c>
      <c r="H219" t="inlineStr">
        <is>
          <t>Kommuner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45551</v>
      </c>
      <c r="E220" s="1" t="n">
        <v>46257</v>
      </c>
      <c r="F220" t="inlineStr">
        <is>
          <t>BLEKINGE LÄN</t>
        </is>
      </c>
      <c r="G220" t="inlineStr">
        <is>
          <t>RONNEBY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46257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46257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46257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46257</v>
      </c>
      <c r="F224" t="inlineStr">
        <is>
          <t>BLEKINGE LÄN</t>
        </is>
      </c>
      <c r="G224" t="inlineStr">
        <is>
          <t>RONNEBY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46257</v>
      </c>
      <c r="F225" t="inlineStr">
        <is>
          <t>BLEKINGE LÄN</t>
        </is>
      </c>
      <c r="G225" t="inlineStr">
        <is>
          <t>RONNEBY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46257</v>
      </c>
      <c r="F226" t="inlineStr">
        <is>
          <t>BLEKINGE LÄN</t>
        </is>
      </c>
      <c r="G226" t="inlineStr">
        <is>
          <t>RONNEBY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45194</v>
      </c>
      <c r="E227" s="1" t="n">
        <v>46257</v>
      </c>
      <c r="F227" t="inlineStr">
        <is>
          <t>BLEKINGE LÄN</t>
        </is>
      </c>
      <c r="G227" t="inlineStr">
        <is>
          <t>RONNEBY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45098</v>
      </c>
      <c r="E228" s="1" t="n">
        <v>46257</v>
      </c>
      <c r="F228" t="inlineStr">
        <is>
          <t>BLEKINGE LÄN</t>
        </is>
      </c>
      <c r="G228" t="inlineStr">
        <is>
          <t>RONNEBY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46257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61730-2022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46257</v>
      </c>
      <c r="F230" t="inlineStr">
        <is>
          <t>BLEKINGE LÄN</t>
        </is>
      </c>
      <c r="G230" t="inlineStr">
        <is>
          <t>RONNEBY</t>
        </is>
      </c>
      <c r="I230" t="n">
        <v>9.6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46257</v>
      </c>
      <c r="F231" t="inlineStr">
        <is>
          <t>BLEKINGE LÄN</t>
        </is>
      </c>
      <c r="G231" t="inlineStr">
        <is>
          <t>RONNEBY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45071</v>
      </c>
      <c r="E232" s="1" t="n">
        <v>46257</v>
      </c>
      <c r="F232" t="inlineStr">
        <is>
          <t>BLEKINGE LÄN</t>
        </is>
      </c>
      <c r="G232" t="inlineStr">
        <is>
          <t>RONNEBY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33420-2023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45128</v>
      </c>
      <c r="E233" s="1" t="n">
        <v>46257</v>
      </c>
      <c r="F233" t="inlineStr">
        <is>
          <t>BLEKINGE LÄN</t>
        </is>
      </c>
      <c r="G233" t="inlineStr">
        <is>
          <t>RONNEBY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48998-2025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46257</v>
      </c>
      <c r="F234" t="inlineStr">
        <is>
          <t>BLEKINGE LÄN</t>
        </is>
      </c>
      <c r="G234" t="inlineStr">
        <is>
          <t>RONNEBY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49832-2024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45597</v>
      </c>
      <c r="E235" s="1" t="n">
        <v>46257</v>
      </c>
      <c r="F235" t="inlineStr">
        <is>
          <t>BLEKINGE LÄN</t>
        </is>
      </c>
      <c r="G235" t="inlineStr">
        <is>
          <t>RONNEBY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46257</v>
      </c>
      <c r="F236" t="inlineStr">
        <is>
          <t>BLEKINGE LÄN</t>
        </is>
      </c>
      <c r="G236" t="inlineStr">
        <is>
          <t>RONNEBY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46257</v>
      </c>
      <c r="F237" t="inlineStr">
        <is>
          <t>BLEKINGE LÄN</t>
        </is>
      </c>
      <c r="G237" t="inlineStr">
        <is>
          <t>RONNEBY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46257</v>
      </c>
      <c r="F238" t="inlineStr">
        <is>
          <t>BLEKINGE LÄN</t>
        </is>
      </c>
      <c r="G238" t="inlineStr">
        <is>
          <t>RONNEBY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45691</v>
      </c>
      <c r="E239" s="1" t="n">
        <v>46257</v>
      </c>
      <c r="F239" t="inlineStr">
        <is>
          <t>BLEKINGE LÄN</t>
        </is>
      </c>
      <c r="G239" t="inlineStr">
        <is>
          <t>RONNEBY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45482</v>
      </c>
      <c r="E240" s="1" t="n">
        <v>46257</v>
      </c>
      <c r="F240" t="inlineStr">
        <is>
          <t>BLEKINGE LÄN</t>
        </is>
      </c>
      <c r="G240" t="inlineStr">
        <is>
          <t>RONNEBY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46257</v>
      </c>
      <c r="F241" t="inlineStr">
        <is>
          <t>BLEKINGE LÄN</t>
        </is>
      </c>
      <c r="G241" t="inlineStr">
        <is>
          <t>RONNEBY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45503</v>
      </c>
      <c r="E242" s="1" t="n">
        <v>46257</v>
      </c>
      <c r="F242" t="inlineStr">
        <is>
          <t>BLEKINGE LÄN</t>
        </is>
      </c>
      <c r="G242" t="inlineStr">
        <is>
          <t>RONNEBY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45739</v>
      </c>
      <c r="E243" s="1" t="n">
        <v>46257</v>
      </c>
      <c r="F243" t="inlineStr">
        <is>
          <t>BLEKINGE LÄN</t>
        </is>
      </c>
      <c r="G243" t="inlineStr">
        <is>
          <t>RONNEBY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46257</v>
      </c>
      <c r="F244" t="inlineStr">
        <is>
          <t>BLEKINGE LÄN</t>
        </is>
      </c>
      <c r="G244" t="inlineStr">
        <is>
          <t>RONNEBY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45360</v>
      </c>
      <c r="E245" s="1" t="n">
        <v>46257</v>
      </c>
      <c r="F245" t="inlineStr">
        <is>
          <t>BLEKINGE LÄN</t>
        </is>
      </c>
      <c r="G245" t="inlineStr">
        <is>
          <t>RONNEBY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44987</v>
      </c>
      <c r="E246" s="1" t="n">
        <v>46257</v>
      </c>
      <c r="F246" t="inlineStr">
        <is>
          <t>BLEKINGE LÄN</t>
        </is>
      </c>
      <c r="G246" t="inlineStr">
        <is>
          <t>RONNEBY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46257</v>
      </c>
      <c r="F247" t="inlineStr">
        <is>
          <t>BLEKINGE LÄN</t>
        </is>
      </c>
      <c r="G247" t="inlineStr">
        <is>
          <t>RONNEBY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44565</v>
      </c>
      <c r="E248" s="1" t="n">
        <v>46257</v>
      </c>
      <c r="F248" t="inlineStr">
        <is>
          <t>BLEKINGE LÄN</t>
        </is>
      </c>
      <c r="G248" t="inlineStr">
        <is>
          <t>RONNEBY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46257</v>
      </c>
      <c r="F249" t="inlineStr">
        <is>
          <t>BLEKINGE LÄN</t>
        </is>
      </c>
      <c r="G249" t="inlineStr">
        <is>
          <t>RONNEBY</t>
        </is>
      </c>
      <c r="H249" t="inlineStr">
        <is>
          <t>Övriga Aktiebolag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46257</v>
      </c>
      <c r="F250" t="inlineStr">
        <is>
          <t>BLEKINGE LÄN</t>
        </is>
      </c>
      <c r="G250" t="inlineStr">
        <is>
          <t>RONNEBY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46257</v>
      </c>
      <c r="F251" t="inlineStr">
        <is>
          <t>BLEKINGE LÄN</t>
        </is>
      </c>
      <c r="G251" t="inlineStr">
        <is>
          <t>RONNEBY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46257</v>
      </c>
      <c r="F252" t="inlineStr">
        <is>
          <t>BLEKINGE LÄN</t>
        </is>
      </c>
      <c r="G252" t="inlineStr">
        <is>
          <t>RONNEBY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45947</v>
      </c>
      <c r="E253" s="1" t="n">
        <v>46257</v>
      </c>
      <c r="F253" t="inlineStr">
        <is>
          <t>BLEKINGE LÄN</t>
        </is>
      </c>
      <c r="G253" t="inlineStr">
        <is>
          <t>RONNEBY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45610</v>
      </c>
      <c r="E254" s="1" t="n">
        <v>46257</v>
      </c>
      <c r="F254" t="inlineStr">
        <is>
          <t>BLEKINGE LÄN</t>
        </is>
      </c>
      <c r="G254" t="inlineStr">
        <is>
          <t>RONNEBY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5502-2022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44595</v>
      </c>
      <c r="E255" s="1" t="n">
        <v>46257</v>
      </c>
      <c r="F255" t="inlineStr">
        <is>
          <t>BLEKINGE LÄN</t>
        </is>
      </c>
      <c r="G255" t="inlineStr">
        <is>
          <t>RONNEBY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45061</v>
      </c>
      <c r="E256" s="1" t="n">
        <v>46257</v>
      </c>
      <c r="F256" t="inlineStr">
        <is>
          <t>BLEKINGE LÄN</t>
        </is>
      </c>
      <c r="G256" t="inlineStr">
        <is>
          <t>RONNEBY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45432</v>
      </c>
      <c r="E257" s="1" t="n">
        <v>46257</v>
      </c>
      <c r="F257" t="inlineStr">
        <is>
          <t>BLEKINGE LÄN</t>
        </is>
      </c>
      <c r="G257" t="inlineStr">
        <is>
          <t>RONNEBY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29552-2022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44754</v>
      </c>
      <c r="E258" s="1" t="n">
        <v>46257</v>
      </c>
      <c r="F258" t="inlineStr">
        <is>
          <t>BLEKINGE LÄN</t>
        </is>
      </c>
      <c r="G258" t="inlineStr">
        <is>
          <t>RONNEBY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29434-2022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44753</v>
      </c>
      <c r="E259" s="1" t="n">
        <v>46257</v>
      </c>
      <c r="F259" t="inlineStr">
        <is>
          <t>BLEKINGE LÄN</t>
        </is>
      </c>
      <c r="G259" t="inlineStr">
        <is>
          <t>RONNEBY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46257</v>
      </c>
      <c r="F260" t="inlineStr">
        <is>
          <t>BLEKINGE LÄN</t>
        </is>
      </c>
      <c r="G260" t="inlineStr">
        <is>
          <t>RONNEBY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46257</v>
      </c>
      <c r="F261" t="inlineStr">
        <is>
          <t>BLEKINGE LÄN</t>
        </is>
      </c>
      <c r="G261" t="inlineStr">
        <is>
          <t>RONNEBY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45001</v>
      </c>
      <c r="E262" s="1" t="n">
        <v>46257</v>
      </c>
      <c r="F262" t="inlineStr">
        <is>
          <t>BLEKINGE LÄN</t>
        </is>
      </c>
      <c r="G262" t="inlineStr">
        <is>
          <t>RONNEBY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51569-2025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46257</v>
      </c>
      <c r="F263" t="inlineStr">
        <is>
          <t>BLEKINGE LÄN</t>
        </is>
      </c>
      <c r="G263" t="inlineStr">
        <is>
          <t>RONNEBY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46257</v>
      </c>
      <c r="F264" t="inlineStr">
        <is>
          <t>BLEKINGE LÄN</t>
        </is>
      </c>
      <c r="G264" t="inlineStr">
        <is>
          <t>RONNEBY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46257</v>
      </c>
      <c r="F265" t="inlineStr">
        <is>
          <t>BLEKINGE LÄN</t>
        </is>
      </c>
      <c r="G265" t="inlineStr">
        <is>
          <t>RONNEBY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13224-2023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45002</v>
      </c>
      <c r="E266" s="1" t="n">
        <v>46257</v>
      </c>
      <c r="F266" t="inlineStr">
        <is>
          <t>BLEKINGE LÄN</t>
        </is>
      </c>
      <c r="G266" t="inlineStr">
        <is>
          <t>RONNEBY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45169</v>
      </c>
      <c r="E267" s="1" t="n">
        <v>46257</v>
      </c>
      <c r="F267" t="inlineStr">
        <is>
          <t>BLEKINGE LÄN</t>
        </is>
      </c>
      <c r="G267" t="inlineStr">
        <is>
          <t>RONNEBY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46257</v>
      </c>
      <c r="F268" t="inlineStr">
        <is>
          <t>BLEKINGE LÄN</t>
        </is>
      </c>
      <c r="G268" t="inlineStr">
        <is>
          <t>RONNEBY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45201</v>
      </c>
      <c r="E269" s="1" t="n">
        <v>46257</v>
      </c>
      <c r="F269" t="inlineStr">
        <is>
          <t>BLEKINGE LÄN</t>
        </is>
      </c>
      <c r="G269" t="inlineStr">
        <is>
          <t>RONNEBY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45201</v>
      </c>
      <c r="E270" s="1" t="n">
        <v>46257</v>
      </c>
      <c r="F270" t="inlineStr">
        <is>
          <t>BLEKINGE LÄN</t>
        </is>
      </c>
      <c r="G270" t="inlineStr">
        <is>
          <t>RONNEBY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31501-2023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45115</v>
      </c>
      <c r="E271" s="1" t="n">
        <v>46257</v>
      </c>
      <c r="F271" t="inlineStr">
        <is>
          <t>BLEKINGE LÄN</t>
        </is>
      </c>
      <c r="G271" t="inlineStr">
        <is>
          <t>RONNEBY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46257</v>
      </c>
      <c r="F272" t="inlineStr">
        <is>
          <t>BLEKINGE LÄN</t>
        </is>
      </c>
      <c r="G272" t="inlineStr">
        <is>
          <t>RONNEBY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57427-2023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46257</v>
      </c>
      <c r="F273" t="inlineStr">
        <is>
          <t>BLEKINGE LÄN</t>
        </is>
      </c>
      <c r="G273" t="inlineStr">
        <is>
          <t>RONNEBY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46257</v>
      </c>
      <c r="F274" t="inlineStr">
        <is>
          <t>BLEKINGE LÄN</t>
        </is>
      </c>
      <c r="G274" t="inlineStr">
        <is>
          <t>RONNEBY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59676-2022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44908</v>
      </c>
      <c r="E275" s="1" t="n">
        <v>46257</v>
      </c>
      <c r="F275" t="inlineStr">
        <is>
          <t>BLEKINGE LÄN</t>
        </is>
      </c>
      <c r="G275" t="inlineStr">
        <is>
          <t>RONNEBY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46257</v>
      </c>
      <c r="F276" t="inlineStr">
        <is>
          <t>BLEKINGE LÄN</t>
        </is>
      </c>
      <c r="G276" t="inlineStr">
        <is>
          <t>RONNEBY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45843</v>
      </c>
      <c r="E277" s="1" t="n">
        <v>46257</v>
      </c>
      <c r="F277" t="inlineStr">
        <is>
          <t>BLEKINGE LÄN</t>
        </is>
      </c>
      <c r="G277" t="inlineStr">
        <is>
          <t>RONNEBY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17563-2023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45036</v>
      </c>
      <c r="E278" s="1" t="n">
        <v>46257</v>
      </c>
      <c r="F278" t="inlineStr">
        <is>
          <t>BLEKINGE LÄN</t>
        </is>
      </c>
      <c r="G278" t="inlineStr">
        <is>
          <t>RONNEBY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46257</v>
      </c>
      <c r="F279" t="inlineStr">
        <is>
          <t>BLEKINGE LÄN</t>
        </is>
      </c>
      <c r="G279" t="inlineStr">
        <is>
          <t>RONNEBY</t>
        </is>
      </c>
      <c r="H279" t="inlineStr">
        <is>
          <t>Kommuner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19948-2023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45054</v>
      </c>
      <c r="E280" s="1" t="n">
        <v>46257</v>
      </c>
      <c r="F280" t="inlineStr">
        <is>
          <t>BLEKINGE LÄN</t>
        </is>
      </c>
      <c r="G280" t="inlineStr">
        <is>
          <t>RONNEBY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45555</v>
      </c>
      <c r="E281" s="1" t="n">
        <v>46257</v>
      </c>
      <c r="F281" t="inlineStr">
        <is>
          <t>BLEKINGE LÄN</t>
        </is>
      </c>
      <c r="G281" t="inlineStr">
        <is>
          <t>RONNEBY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14428-2024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45394</v>
      </c>
      <c r="E282" s="1" t="n">
        <v>46257</v>
      </c>
      <c r="F282" t="inlineStr">
        <is>
          <t>BLEKINGE LÄN</t>
        </is>
      </c>
      <c r="G282" t="inlineStr">
        <is>
          <t>RONNEBY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46257</v>
      </c>
      <c r="F283" t="inlineStr">
        <is>
          <t>BLEKINGE LÄN</t>
        </is>
      </c>
      <c r="G283" t="inlineStr">
        <is>
          <t>RONNEBY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45402</v>
      </c>
      <c r="E284" s="1" t="n">
        <v>46257</v>
      </c>
      <c r="F284" t="inlineStr">
        <is>
          <t>BLEKINGE LÄN</t>
        </is>
      </c>
      <c r="G284" t="inlineStr">
        <is>
          <t>RONNEBY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45381</v>
      </c>
      <c r="E285" s="1" t="n">
        <v>46257</v>
      </c>
      <c r="F285" t="inlineStr">
        <is>
          <t>BLEKINGE LÄN</t>
        </is>
      </c>
      <c r="G285" t="inlineStr">
        <is>
          <t>RONNEBY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45537</v>
      </c>
      <c r="E286" s="1" t="n">
        <v>46257</v>
      </c>
      <c r="F286" t="inlineStr">
        <is>
          <t>BLEKINGE LÄN</t>
        </is>
      </c>
      <c r="G286" t="inlineStr">
        <is>
          <t>RONNEBY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45169</v>
      </c>
      <c r="E287" s="1" t="n">
        <v>46257</v>
      </c>
      <c r="F287" t="inlineStr">
        <is>
          <t>BLEKINGE LÄN</t>
        </is>
      </c>
      <c r="G287" t="inlineStr">
        <is>
          <t>RONNEBY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45012</v>
      </c>
      <c r="E288" s="1" t="n">
        <v>46257</v>
      </c>
      <c r="F288" t="inlineStr">
        <is>
          <t>BLEKINGE LÄN</t>
        </is>
      </c>
      <c r="G288" t="inlineStr">
        <is>
          <t>RONNEBY</t>
        </is>
      </c>
      <c r="H288" t="inlineStr">
        <is>
          <t>Övriga statliga verk och myndigheter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45354</v>
      </c>
      <c r="E289" s="1" t="n">
        <v>46257</v>
      </c>
      <c r="F289" t="inlineStr">
        <is>
          <t>BLEKINGE LÄN</t>
        </is>
      </c>
      <c r="G289" t="inlineStr">
        <is>
          <t>RONNEBY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46257</v>
      </c>
      <c r="F290" t="inlineStr">
        <is>
          <t>BLEKINGE LÄN</t>
        </is>
      </c>
      <c r="G290" t="inlineStr">
        <is>
          <t>RONNEBY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46257</v>
      </c>
      <c r="F291" t="inlineStr">
        <is>
          <t>BLEKINGE LÄN</t>
        </is>
      </c>
      <c r="G291" t="inlineStr">
        <is>
          <t>RONNEBY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45009</v>
      </c>
      <c r="E292" s="1" t="n">
        <v>46257</v>
      </c>
      <c r="F292" t="inlineStr">
        <is>
          <t>BLEKINGE LÄN</t>
        </is>
      </c>
      <c r="G292" t="inlineStr">
        <is>
          <t>RONNEBY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14102-2023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45009</v>
      </c>
      <c r="E293" s="1" t="n">
        <v>46257</v>
      </c>
      <c r="F293" t="inlineStr">
        <is>
          <t>BLEKINGE LÄN</t>
        </is>
      </c>
      <c r="G293" t="inlineStr">
        <is>
          <t>RONNEBY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46257</v>
      </c>
      <c r="F294" t="inlineStr">
        <is>
          <t>BLEKINGE LÄN</t>
        </is>
      </c>
      <c r="G294" t="inlineStr">
        <is>
          <t>RONNEBY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53817-2022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44880</v>
      </c>
      <c r="E295" s="1" t="n">
        <v>46257</v>
      </c>
      <c r="F295" t="inlineStr">
        <is>
          <t>BLEKINGE LÄN</t>
        </is>
      </c>
      <c r="G295" t="inlineStr">
        <is>
          <t>RONNEBY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45702</v>
      </c>
      <c r="E296" s="1" t="n">
        <v>46257</v>
      </c>
      <c r="F296" t="inlineStr">
        <is>
          <t>BLEKINGE LÄN</t>
        </is>
      </c>
      <c r="G296" t="inlineStr">
        <is>
          <t>RONNEBY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56139-2025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46257</v>
      </c>
      <c r="F297" t="inlineStr">
        <is>
          <t>BLEKINGE LÄN</t>
        </is>
      </c>
      <c r="G297" t="inlineStr">
        <is>
          <t>RONNEBY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40300-2022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44822</v>
      </c>
      <c r="E298" s="1" t="n">
        <v>46257</v>
      </c>
      <c r="F298" t="inlineStr">
        <is>
          <t>BLEKINGE LÄN</t>
        </is>
      </c>
      <c r="G298" t="inlineStr">
        <is>
          <t>RONNEBY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45719</v>
      </c>
      <c r="E299" s="1" t="n">
        <v>46257</v>
      </c>
      <c r="F299" t="inlineStr">
        <is>
          <t>BLEKINGE LÄN</t>
        </is>
      </c>
      <c r="G299" t="inlineStr">
        <is>
          <t>RONNEBY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46257</v>
      </c>
      <c r="F300" t="inlineStr">
        <is>
          <t>BLEKINGE LÄN</t>
        </is>
      </c>
      <c r="G300" t="inlineStr">
        <is>
          <t>RONNEBY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46257</v>
      </c>
      <c r="F301" t="inlineStr">
        <is>
          <t>BLEKINGE LÄN</t>
        </is>
      </c>
      <c r="G301" t="inlineStr">
        <is>
          <t>RONNEBY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45426</v>
      </c>
      <c r="E302" s="1" t="n">
        <v>46257</v>
      </c>
      <c r="F302" t="inlineStr">
        <is>
          <t>BLEKINGE LÄN</t>
        </is>
      </c>
      <c r="G302" t="inlineStr">
        <is>
          <t>RONNEBY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46257</v>
      </c>
      <c r="F303" t="inlineStr">
        <is>
          <t>BLEKINGE LÄN</t>
        </is>
      </c>
      <c r="G303" t="inlineStr">
        <is>
          <t>RONNEBY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45588</v>
      </c>
      <c r="E304" s="1" t="n">
        <v>46257</v>
      </c>
      <c r="F304" t="inlineStr">
        <is>
          <t>BLEKINGE LÄN</t>
        </is>
      </c>
      <c r="G304" t="inlineStr">
        <is>
          <t>RONNEBY</t>
        </is>
      </c>
      <c r="H304" t="inlineStr">
        <is>
          <t>Kommuner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63881-2023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45278</v>
      </c>
      <c r="E305" s="1" t="n">
        <v>46257</v>
      </c>
      <c r="F305" t="inlineStr">
        <is>
          <t>BLEKINGE LÄN</t>
        </is>
      </c>
      <c r="G305" t="inlineStr">
        <is>
          <t>RONNEBY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46257</v>
      </c>
      <c r="F306" t="inlineStr">
        <is>
          <t>BLEKINGE LÄN</t>
        </is>
      </c>
      <c r="G306" t="inlineStr">
        <is>
          <t>RONNEBY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46257</v>
      </c>
      <c r="F307" t="inlineStr">
        <is>
          <t>BLEKINGE LÄN</t>
        </is>
      </c>
      <c r="G307" t="inlineStr">
        <is>
          <t>RONNEBY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45754</v>
      </c>
      <c r="E308" s="1" t="n">
        <v>46257</v>
      </c>
      <c r="F308" t="inlineStr">
        <is>
          <t>BLEKINGE LÄN</t>
        </is>
      </c>
      <c r="G308" t="inlineStr">
        <is>
          <t>RONNEBY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44987</v>
      </c>
      <c r="E309" s="1" t="n">
        <v>46257</v>
      </c>
      <c r="F309" t="inlineStr">
        <is>
          <t>BLEKINGE LÄN</t>
        </is>
      </c>
      <c r="G309" t="inlineStr">
        <is>
          <t>RONNEBY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45117</v>
      </c>
      <c r="E310" s="1" t="n">
        <v>46257</v>
      </c>
      <c r="F310" t="inlineStr">
        <is>
          <t>BLEKINGE LÄN</t>
        </is>
      </c>
      <c r="G310" t="inlineStr">
        <is>
          <t>RONNEBY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45480</v>
      </c>
      <c r="E311" s="1" t="n">
        <v>46257</v>
      </c>
      <c r="F311" t="inlineStr">
        <is>
          <t>BLEKINGE LÄN</t>
        </is>
      </c>
      <c r="G311" t="inlineStr">
        <is>
          <t>RONNEBY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45302</v>
      </c>
      <c r="E312" s="1" t="n">
        <v>46257</v>
      </c>
      <c r="F312" t="inlineStr">
        <is>
          <t>BLEKINGE LÄN</t>
        </is>
      </c>
      <c r="G312" t="inlineStr">
        <is>
          <t>RONNEBY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45327</v>
      </c>
      <c r="E313" s="1" t="n">
        <v>46257</v>
      </c>
      <c r="F313" t="inlineStr">
        <is>
          <t>BLEKINGE LÄN</t>
        </is>
      </c>
      <c r="G313" t="inlineStr">
        <is>
          <t>RONNEBY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58648-2025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45986</v>
      </c>
      <c r="E314" s="1" t="n">
        <v>46257</v>
      </c>
      <c r="F314" t="inlineStr">
        <is>
          <t>BLEKINGE LÄN</t>
        </is>
      </c>
      <c r="G314" t="inlineStr">
        <is>
          <t>RONNEBY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46257</v>
      </c>
      <c r="F315" t="inlineStr">
        <is>
          <t>BLEKINGE LÄN</t>
        </is>
      </c>
      <c r="G315" t="inlineStr">
        <is>
          <t>RONNEBY</t>
        </is>
      </c>
      <c r="I315" t="n">
        <v>11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25077-2022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44729</v>
      </c>
      <c r="E316" s="1" t="n">
        <v>46257</v>
      </c>
      <c r="F316" t="inlineStr">
        <is>
          <t>BLEKINGE LÄN</t>
        </is>
      </c>
      <c r="G316" t="inlineStr">
        <is>
          <t>RONNEBY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45440</v>
      </c>
      <c r="E317" s="1" t="n">
        <v>46257</v>
      </c>
      <c r="F317" t="inlineStr">
        <is>
          <t>BLEKINGE LÄN</t>
        </is>
      </c>
      <c r="G317" t="inlineStr">
        <is>
          <t>RONNEBY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45299</v>
      </c>
      <c r="E318" s="1" t="n">
        <v>46257</v>
      </c>
      <c r="F318" t="inlineStr">
        <is>
          <t>BLEKINGE LÄN</t>
        </is>
      </c>
      <c r="G318" t="inlineStr">
        <is>
          <t>RONNEBY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45619</v>
      </c>
      <c r="E319" s="1" t="n">
        <v>46257</v>
      </c>
      <c r="F319" t="inlineStr">
        <is>
          <t>BLEKINGE LÄN</t>
        </is>
      </c>
      <c r="G319" t="inlineStr">
        <is>
          <t>RONNEBY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46257</v>
      </c>
      <c r="F320" t="inlineStr">
        <is>
          <t>BLEKINGE LÄN</t>
        </is>
      </c>
      <c r="G320" t="inlineStr">
        <is>
          <t>RONNEBY</t>
        </is>
      </c>
      <c r="I320" t="n">
        <v>14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46257</v>
      </c>
      <c r="F321" t="inlineStr">
        <is>
          <t>BLEKINGE LÄN</t>
        </is>
      </c>
      <c r="G321" t="inlineStr">
        <is>
          <t>RONNEBY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29551-2022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44754</v>
      </c>
      <c r="E322" s="1" t="n">
        <v>46257</v>
      </c>
      <c r="F322" t="inlineStr">
        <is>
          <t>BLEKINGE LÄN</t>
        </is>
      </c>
      <c r="G322" t="inlineStr">
        <is>
          <t>RONNEBY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41054-2023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45169</v>
      </c>
      <c r="E323" s="1" t="n">
        <v>46257</v>
      </c>
      <c r="F323" t="inlineStr">
        <is>
          <t>BLEKINGE LÄN</t>
        </is>
      </c>
      <c r="G323" t="inlineStr">
        <is>
          <t>RONNEBY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54856-2022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44884</v>
      </c>
      <c r="E324" s="1" t="n">
        <v>46257</v>
      </c>
      <c r="F324" t="inlineStr">
        <is>
          <t>BLEKINGE LÄN</t>
        </is>
      </c>
      <c r="G324" t="inlineStr">
        <is>
          <t>RONNEBY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46257</v>
      </c>
      <c r="F325" t="inlineStr">
        <is>
          <t>BLEKINGE LÄN</t>
        </is>
      </c>
      <c r="G325" t="inlineStr">
        <is>
          <t>RONNEBY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45995</v>
      </c>
      <c r="E326" s="1" t="n">
        <v>46257</v>
      </c>
      <c r="F326" t="inlineStr">
        <is>
          <t>BLEKINGE LÄN</t>
        </is>
      </c>
      <c r="G326" t="inlineStr">
        <is>
          <t>RONNEBY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45855</v>
      </c>
      <c r="E327" s="1" t="n">
        <v>46257</v>
      </c>
      <c r="F327" t="inlineStr">
        <is>
          <t>BLEKINGE LÄN</t>
        </is>
      </c>
      <c r="G327" t="inlineStr">
        <is>
          <t>RONNEBY</t>
        </is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46257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45337</v>
      </c>
      <c r="E329" s="1" t="n">
        <v>46257</v>
      </c>
      <c r="F329" t="inlineStr">
        <is>
          <t>BLEKINGE LÄN</t>
        </is>
      </c>
      <c r="G329" t="inlineStr">
        <is>
          <t>RONNEBY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46257</v>
      </c>
      <c r="F330" t="inlineStr">
        <is>
          <t>BLEKINGE LÄN</t>
        </is>
      </c>
      <c r="G330" t="inlineStr">
        <is>
          <t>RONNEBY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61154-2025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46257</v>
      </c>
      <c r="F331" t="inlineStr">
        <is>
          <t>BLEKINGE LÄN</t>
        </is>
      </c>
      <c r="G331" t="inlineStr">
        <is>
          <t>RONNEBY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18681-2023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45043</v>
      </c>
      <c r="E332" s="1" t="n">
        <v>46257</v>
      </c>
      <c r="F332" t="inlineStr">
        <is>
          <t>BLEKINGE LÄN</t>
        </is>
      </c>
      <c r="G332" t="inlineStr">
        <is>
          <t>RONNEBY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62669-2022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44925</v>
      </c>
      <c r="E333" s="1" t="n">
        <v>46257</v>
      </c>
      <c r="F333" t="inlineStr">
        <is>
          <t>BLEKINGE LÄN</t>
        </is>
      </c>
      <c r="G333" t="inlineStr">
        <is>
          <t>RONNEBY</t>
        </is>
      </c>
      <c r="H333" t="inlineStr">
        <is>
          <t>Övriga Aktiebolag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45402</v>
      </c>
      <c r="E334" s="1" t="n">
        <v>46257</v>
      </c>
      <c r="F334" t="inlineStr">
        <is>
          <t>BLEKINGE LÄN</t>
        </is>
      </c>
      <c r="G334" t="inlineStr">
        <is>
          <t>RONNEBY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6289-2022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44600</v>
      </c>
      <c r="E335" s="1" t="n">
        <v>46257</v>
      </c>
      <c r="F335" t="inlineStr">
        <is>
          <t>BLEKINGE LÄN</t>
        </is>
      </c>
      <c r="G335" t="inlineStr">
        <is>
          <t>RONNEBY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32076-2022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46257</v>
      </c>
      <c r="F336" t="inlineStr">
        <is>
          <t>BLEKINGE LÄN</t>
        </is>
      </c>
      <c r="G336" t="inlineStr">
        <is>
          <t>RONNEBY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59840-2021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44494</v>
      </c>
      <c r="E337" s="1" t="n">
        <v>46257</v>
      </c>
      <c r="F337" t="inlineStr">
        <is>
          <t>BLEKINGE LÄN</t>
        </is>
      </c>
      <c r="G337" t="inlineStr">
        <is>
          <t>RONNEBY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45646</v>
      </c>
      <c r="E338" s="1" t="n">
        <v>46257</v>
      </c>
      <c r="F338" t="inlineStr">
        <is>
          <t>BLEKINGE LÄN</t>
        </is>
      </c>
      <c r="G338" t="inlineStr">
        <is>
          <t>RONNEBY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46257</v>
      </c>
      <c r="F339" t="inlineStr">
        <is>
          <t>BLEKINGE LÄN</t>
        </is>
      </c>
      <c r="G339" t="inlineStr">
        <is>
          <t>RONNEBY</t>
        </is>
      </c>
      <c r="H339" t="inlineStr">
        <is>
          <t>Övriga Aktiebolag</t>
        </is>
      </c>
      <c r="I339" t="n">
        <v>9.199999999999999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46257</v>
      </c>
      <c r="F340" t="inlineStr">
        <is>
          <t>BLEKINGE LÄN</t>
        </is>
      </c>
      <c r="G340" t="inlineStr">
        <is>
          <t>RONNEBY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44489</v>
      </c>
      <c r="E341" s="1" t="n">
        <v>46257</v>
      </c>
      <c r="F341" t="inlineStr">
        <is>
          <t>BLEKINGE LÄN</t>
        </is>
      </c>
      <c r="G341" t="inlineStr">
        <is>
          <t>RONNEBY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46257</v>
      </c>
      <c r="F342" t="inlineStr">
        <is>
          <t>BLEKINGE LÄN</t>
        </is>
      </c>
      <c r="G342" t="inlineStr">
        <is>
          <t>RONNEBY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62465-2025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46007</v>
      </c>
      <c r="E343" s="1" t="n">
        <v>46257</v>
      </c>
      <c r="F343" t="inlineStr">
        <is>
          <t>BLEKINGE LÄN</t>
        </is>
      </c>
      <c r="G343" t="inlineStr">
        <is>
          <t>RONNEBY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28048-2023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45099</v>
      </c>
      <c r="E344" s="1" t="n">
        <v>46257</v>
      </c>
      <c r="F344" t="inlineStr">
        <is>
          <t>BLEKINGE LÄN</t>
        </is>
      </c>
      <c r="G344" t="inlineStr">
        <is>
          <t>RONNEBY</t>
        </is>
      </c>
      <c r="I344" t="n">
        <v>14.4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45006</v>
      </c>
      <c r="E345" s="1" t="n">
        <v>46257</v>
      </c>
      <c r="F345" t="inlineStr">
        <is>
          <t>BLEKINGE LÄN</t>
        </is>
      </c>
      <c r="G345" t="inlineStr">
        <is>
          <t>RONNEBY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44762</v>
      </c>
      <c r="E346" s="1" t="n">
        <v>46257</v>
      </c>
      <c r="F346" t="inlineStr">
        <is>
          <t>BLEKINGE LÄN</t>
        </is>
      </c>
      <c r="G346" t="inlineStr">
        <is>
          <t>RONNEBY</t>
        </is>
      </c>
      <c r="H346" t="inlineStr">
        <is>
          <t>Övriga Aktiebolag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46257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45118</v>
      </c>
      <c r="E348" s="1" t="n">
        <v>46257</v>
      </c>
      <c r="F348" t="inlineStr">
        <is>
          <t>BLEKINGE LÄN</t>
        </is>
      </c>
      <c r="G348" t="inlineStr">
        <is>
          <t>RONNEBY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26548-2022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44739</v>
      </c>
      <c r="E349" s="1" t="n">
        <v>46257</v>
      </c>
      <c r="F349" t="inlineStr">
        <is>
          <t>BLEKINGE LÄN</t>
        </is>
      </c>
      <c r="G349" t="inlineStr">
        <is>
          <t>RONNEBY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44753</v>
      </c>
      <c r="E350" s="1" t="n">
        <v>46257</v>
      </c>
      <c r="F350" t="inlineStr">
        <is>
          <t>BLEKINGE LÄN</t>
        </is>
      </c>
      <c r="G350" t="inlineStr">
        <is>
          <t>RONNEBY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46257</v>
      </c>
      <c r="F351" t="inlineStr">
        <is>
          <t>BLEKINGE LÄN</t>
        </is>
      </c>
      <c r="G351" t="inlineStr">
        <is>
          <t>RONNEBY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50792-2022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44862</v>
      </c>
      <c r="E352" s="1" t="n">
        <v>46257</v>
      </c>
      <c r="F352" t="inlineStr">
        <is>
          <t>BLEKINGE LÄN</t>
        </is>
      </c>
      <c r="G352" t="inlineStr">
        <is>
          <t>RONNEBY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45470</v>
      </c>
      <c r="E353" s="1" t="n">
        <v>46257</v>
      </c>
      <c r="F353" t="inlineStr">
        <is>
          <t>BLEKINGE LÄN</t>
        </is>
      </c>
      <c r="G353" t="inlineStr">
        <is>
          <t>RONNEBY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45086</v>
      </c>
      <c r="E354" s="1" t="n">
        <v>46257</v>
      </c>
      <c r="F354" t="inlineStr">
        <is>
          <t>BLEKINGE LÄN</t>
        </is>
      </c>
      <c r="G354" t="inlineStr">
        <is>
          <t>RONNEBY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45310</v>
      </c>
      <c r="E355" s="1" t="n">
        <v>46257</v>
      </c>
      <c r="F355" t="inlineStr">
        <is>
          <t>BLEKINGE LÄN</t>
        </is>
      </c>
      <c r="G355" t="inlineStr">
        <is>
          <t>RONNEBY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17904-2023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45040</v>
      </c>
      <c r="E356" s="1" t="n">
        <v>46257</v>
      </c>
      <c r="F356" t="inlineStr">
        <is>
          <t>BLEKINGE LÄN</t>
        </is>
      </c>
      <c r="G356" t="inlineStr">
        <is>
          <t>RONNEBY</t>
        </is>
      </c>
      <c r="I356" t="n">
        <v>11.5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45757</v>
      </c>
      <c r="E357" s="1" t="n">
        <v>46257</v>
      </c>
      <c r="F357" t="inlineStr">
        <is>
          <t>BLEKINGE LÄN</t>
        </is>
      </c>
      <c r="G357" t="inlineStr">
        <is>
          <t>RONNEBY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41875-2022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44829</v>
      </c>
      <c r="E358" s="1" t="n">
        <v>46257</v>
      </c>
      <c r="F358" t="inlineStr">
        <is>
          <t>BLEKINGE LÄN</t>
        </is>
      </c>
      <c r="G358" t="inlineStr">
        <is>
          <t>RONNEBY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46257</v>
      </c>
      <c r="F359" t="inlineStr">
        <is>
          <t>BLEKINGE LÄN</t>
        </is>
      </c>
      <c r="G359" t="inlineStr">
        <is>
          <t>RONNEBY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44956</v>
      </c>
      <c r="E360" s="1" t="n">
        <v>46257</v>
      </c>
      <c r="F360" t="inlineStr">
        <is>
          <t>BLEKINGE LÄN</t>
        </is>
      </c>
      <c r="G360" t="inlineStr">
        <is>
          <t>RONNEBY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45192</v>
      </c>
      <c r="E361" s="1" t="n">
        <v>46257</v>
      </c>
      <c r="F361" t="inlineStr">
        <is>
          <t>BLEKINGE LÄN</t>
        </is>
      </c>
      <c r="G361" t="inlineStr">
        <is>
          <t>RONNEBY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52614-2023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45225</v>
      </c>
      <c r="E362" s="1" t="n">
        <v>46257</v>
      </c>
      <c r="F362" t="inlineStr">
        <is>
          <t>BLEKINGE LÄN</t>
        </is>
      </c>
      <c r="G362" t="inlineStr">
        <is>
          <t>RONNEBY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61564-2024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46257</v>
      </c>
      <c r="F363" t="inlineStr">
        <is>
          <t>BLEKINGE LÄN</t>
        </is>
      </c>
      <c r="G363" t="inlineStr">
        <is>
          <t>RONNEBY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45166</v>
      </c>
      <c r="E364" s="1" t="n">
        <v>46257</v>
      </c>
      <c r="F364" t="inlineStr">
        <is>
          <t>BLEKINGE LÄN</t>
        </is>
      </c>
      <c r="G364" t="inlineStr">
        <is>
          <t>RONNEBY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54532-2022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44882</v>
      </c>
      <c r="E365" s="1" t="n">
        <v>46257</v>
      </c>
      <c r="F365" t="inlineStr">
        <is>
          <t>BLEKINGE LÄN</t>
        </is>
      </c>
      <c r="G365" t="inlineStr">
        <is>
          <t>RONNEBY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36202-2024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45534</v>
      </c>
      <c r="E366" s="1" t="n">
        <v>46257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64465-2023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45280</v>
      </c>
      <c r="E367" s="1" t="n">
        <v>46257</v>
      </c>
      <c r="F367" t="inlineStr">
        <is>
          <t>BLEKINGE LÄN</t>
        </is>
      </c>
      <c r="G367" t="inlineStr">
        <is>
          <t>RONNEBY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56592-2022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44893</v>
      </c>
      <c r="E368" s="1" t="n">
        <v>46257</v>
      </c>
      <c r="F368" t="inlineStr">
        <is>
          <t>BLEKINGE LÄN</t>
        </is>
      </c>
      <c r="G368" t="inlineStr">
        <is>
          <t>RONNEBY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52637-2024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45610</v>
      </c>
      <c r="E369" s="1" t="n">
        <v>46257</v>
      </c>
      <c r="F369" t="inlineStr">
        <is>
          <t>BLEKINGE LÄN</t>
        </is>
      </c>
      <c r="G369" t="inlineStr">
        <is>
          <t>RONNEBY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7716-2023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44972</v>
      </c>
      <c r="E370" s="1" t="n">
        <v>46257</v>
      </c>
      <c r="F370" t="inlineStr">
        <is>
          <t>BLEKINGE LÄN</t>
        </is>
      </c>
      <c r="G370" t="inlineStr">
        <is>
          <t>RONNEBY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54536-2022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44882</v>
      </c>
      <c r="E371" s="1" t="n">
        <v>46257</v>
      </c>
      <c r="F371" t="inlineStr">
        <is>
          <t>BLEKINGE LÄN</t>
        </is>
      </c>
      <c r="G371" t="inlineStr">
        <is>
          <t>RONNEBY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45360</v>
      </c>
      <c r="E372" s="1" t="n">
        <v>46257</v>
      </c>
      <c r="F372" t="inlineStr">
        <is>
          <t>BLEKINGE LÄN</t>
        </is>
      </c>
      <c r="G372" t="inlineStr">
        <is>
          <t>RONNEBY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45559</v>
      </c>
      <c r="E373" s="1" t="n">
        <v>46257</v>
      </c>
      <c r="F373" t="inlineStr">
        <is>
          <t>BLEKINGE LÄN</t>
        </is>
      </c>
      <c r="G373" t="inlineStr">
        <is>
          <t>RONNEBY</t>
        </is>
      </c>
      <c r="H373" t="inlineStr">
        <is>
          <t>Övriga Aktiebolag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14099-2023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45009</v>
      </c>
      <c r="E374" s="1" t="n">
        <v>46257</v>
      </c>
      <c r="F374" t="inlineStr">
        <is>
          <t>BLEKINGE LÄN</t>
        </is>
      </c>
      <c r="G374" t="inlineStr">
        <is>
          <t>RONNEBY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21206-2023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46257</v>
      </c>
      <c r="F375" t="inlineStr">
        <is>
          <t>BLEKINGE LÄN</t>
        </is>
      </c>
      <c r="G375" t="inlineStr">
        <is>
          <t>RONNEBY</t>
        </is>
      </c>
      <c r="H375" t="inlineStr">
        <is>
          <t>Kommuner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3456-2026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46042</v>
      </c>
      <c r="E376" s="1" t="n">
        <v>46257</v>
      </c>
      <c r="F376" t="inlineStr">
        <is>
          <t>BLEKINGE LÄN</t>
        </is>
      </c>
      <c r="G376" t="inlineStr">
        <is>
          <t>RONNEBY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46257</v>
      </c>
      <c r="F377" t="inlineStr">
        <is>
          <t>BLEKINGE LÄN</t>
        </is>
      </c>
      <c r="G377" t="inlineStr">
        <is>
          <t>RONNEBY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46257</v>
      </c>
      <c r="F378" t="inlineStr">
        <is>
          <t>BLEKINGE LÄN</t>
        </is>
      </c>
      <c r="G378" t="inlineStr">
        <is>
          <t>RONNEBY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1183-2025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45653</v>
      </c>
      <c r="E379" s="1" t="n">
        <v>46257</v>
      </c>
      <c r="F379" t="inlineStr">
        <is>
          <t>BLEKINGE LÄN</t>
        </is>
      </c>
      <c r="G379" t="inlineStr">
        <is>
          <t>RONNEBY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45316</v>
      </c>
      <c r="E380" s="1" t="n">
        <v>46257</v>
      </c>
      <c r="F380" t="inlineStr">
        <is>
          <t>BLEKINGE LÄN</t>
        </is>
      </c>
      <c r="G380" t="inlineStr">
        <is>
          <t>RONNEBY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6819-2024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45342</v>
      </c>
      <c r="E381" s="1" t="n">
        <v>46257</v>
      </c>
      <c r="F381" t="inlineStr">
        <is>
          <t>BLEKINGE LÄN</t>
        </is>
      </c>
      <c r="G381" t="inlineStr">
        <is>
          <t>RONNEBY</t>
        </is>
      </c>
      <c r="I381" t="n">
        <v>15.2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46164</v>
      </c>
      <c r="E382" s="1" t="n">
        <v>46257</v>
      </c>
      <c r="F382" t="inlineStr">
        <is>
          <t>BLEKINGE LÄN</t>
        </is>
      </c>
      <c r="G382" t="inlineStr">
        <is>
          <t>RONNEBY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46046</v>
      </c>
      <c r="E383" s="1" t="n">
        <v>46257</v>
      </c>
      <c r="F383" t="inlineStr">
        <is>
          <t>BLEKINGE LÄN</t>
        </is>
      </c>
      <c r="G383" t="inlineStr">
        <is>
          <t>RONNEBY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26644-2022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44739</v>
      </c>
      <c r="E384" s="1" t="n">
        <v>46257</v>
      </c>
      <c r="F384" t="inlineStr">
        <is>
          <t>BLEKINGE LÄN</t>
        </is>
      </c>
      <c r="G384" t="inlineStr">
        <is>
          <t>RONNEBY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46257</v>
      </c>
      <c r="F385" t="inlineStr">
        <is>
          <t>BLEKINGE LÄN</t>
        </is>
      </c>
      <c r="G385" t="inlineStr">
        <is>
          <t>RONNEBY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44713</v>
      </c>
      <c r="E386" s="1" t="n">
        <v>46257</v>
      </c>
      <c r="F386" t="inlineStr">
        <is>
          <t>BLEKINGE LÄN</t>
        </is>
      </c>
      <c r="G386" t="inlineStr">
        <is>
          <t>RONNEBY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46257</v>
      </c>
      <c r="F387" t="inlineStr">
        <is>
          <t>BLEKINGE LÄN</t>
        </is>
      </c>
      <c r="G387" t="inlineStr">
        <is>
          <t>RONNEBY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46257</v>
      </c>
      <c r="F388" t="inlineStr">
        <is>
          <t>BLEKINGE LÄN</t>
        </is>
      </c>
      <c r="G388" t="inlineStr">
        <is>
          <t>RONNEBY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46257</v>
      </c>
      <c r="F389" t="inlineStr">
        <is>
          <t>BLEKINGE LÄN</t>
        </is>
      </c>
      <c r="G389" t="inlineStr">
        <is>
          <t>RONNEBY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46257</v>
      </c>
      <c r="F390" t="inlineStr">
        <is>
          <t>BLEKINGE LÄN</t>
        </is>
      </c>
      <c r="G390" t="inlineStr">
        <is>
          <t>RONNEBY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46257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18678-2024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45426</v>
      </c>
      <c r="E392" s="1" t="n">
        <v>46257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24785-2026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46171</v>
      </c>
      <c r="E393" s="1" t="n">
        <v>46257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47781-2024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45588</v>
      </c>
      <c r="E394" s="1" t="n">
        <v>46257</v>
      </c>
      <c r="F394" t="inlineStr">
        <is>
          <t>BLEKINGE LÄN</t>
        </is>
      </c>
      <c r="G394" t="inlineStr">
        <is>
          <t>RONNEBY</t>
        </is>
      </c>
      <c r="H394" t="inlineStr">
        <is>
          <t>Kommuner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45194</v>
      </c>
      <c r="E395" s="1" t="n">
        <v>46257</v>
      </c>
      <c r="F395" t="inlineStr">
        <is>
          <t>BLEKINGE LÄN</t>
        </is>
      </c>
      <c r="G395" t="inlineStr">
        <is>
          <t>RONNEBY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44817</v>
      </c>
      <c r="E396" s="1" t="n">
        <v>46257</v>
      </c>
      <c r="F396" t="inlineStr">
        <is>
          <t>BLEKINGE LÄN</t>
        </is>
      </c>
      <c r="G396" t="inlineStr">
        <is>
          <t>RONNEBY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41034-2024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45559</v>
      </c>
      <c r="E397" s="1" t="n">
        <v>46257</v>
      </c>
      <c r="F397" t="inlineStr">
        <is>
          <t>BLEKINGE LÄN</t>
        </is>
      </c>
      <c r="G397" t="inlineStr">
        <is>
          <t>RONNEBY</t>
        </is>
      </c>
      <c r="H397" t="inlineStr">
        <is>
          <t>Övriga Aktiebolag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45328</v>
      </c>
      <c r="E398" s="1" t="n">
        <v>46257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45328</v>
      </c>
      <c r="E399" s="1" t="n">
        <v>46257</v>
      </c>
      <c r="F399" t="inlineStr">
        <is>
          <t>BLEKINGE LÄN</t>
        </is>
      </c>
      <c r="G399" t="inlineStr">
        <is>
          <t>RONNEBY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9571-2024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45360</v>
      </c>
      <c r="E400" s="1" t="n">
        <v>46257</v>
      </c>
      <c r="F400" t="inlineStr">
        <is>
          <t>BLEKINGE LÄN</t>
        </is>
      </c>
      <c r="G400" t="inlineStr">
        <is>
          <t>RONNEBY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45360</v>
      </c>
      <c r="E401" s="1" t="n">
        <v>46257</v>
      </c>
      <c r="F401" t="inlineStr">
        <is>
          <t>BLEKINGE LÄN</t>
        </is>
      </c>
      <c r="G401" t="inlineStr">
        <is>
          <t>RONNEBY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7508-2026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46257</v>
      </c>
      <c r="F402" t="inlineStr">
        <is>
          <t>BLEKINGE LÄN</t>
        </is>
      </c>
      <c r="G402" t="inlineStr">
        <is>
          <t>RONNEBY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46059</v>
      </c>
      <c r="E403" s="1" t="n">
        <v>46257</v>
      </c>
      <c r="F403" t="inlineStr">
        <is>
          <t>BLEKINGE LÄN</t>
        </is>
      </c>
      <c r="G403" t="inlineStr">
        <is>
          <t>RONNEBY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45715</v>
      </c>
      <c r="E404" s="1" t="n">
        <v>46257</v>
      </c>
      <c r="F404" t="inlineStr">
        <is>
          <t>BLEKINGE LÄN</t>
        </is>
      </c>
      <c r="G404" t="inlineStr">
        <is>
          <t>RONNEBY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46257</v>
      </c>
      <c r="F405" t="inlineStr">
        <is>
          <t>BLEKINGE LÄN</t>
        </is>
      </c>
      <c r="G405" t="inlineStr">
        <is>
          <t>RONNEBY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45775</v>
      </c>
      <c r="E406" s="1" t="n">
        <v>46257</v>
      </c>
      <c r="F406" t="inlineStr">
        <is>
          <t>BLEKINGE LÄN</t>
        </is>
      </c>
      <c r="G406" t="inlineStr">
        <is>
          <t>RONNEBY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46216</v>
      </c>
      <c r="E407" s="1" t="n">
        <v>46257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45105</v>
      </c>
      <c r="E408" s="1" t="n">
        <v>46257</v>
      </c>
      <c r="F408" t="inlineStr">
        <is>
          <t>BLEKINGE LÄN</t>
        </is>
      </c>
      <c r="G408" t="inlineStr">
        <is>
          <t>RONNEBY</t>
        </is>
      </c>
      <c r="H408" t="inlineStr">
        <is>
          <t>Kommuner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23996-2023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45075</v>
      </c>
      <c r="E409" s="1" t="n">
        <v>46257</v>
      </c>
      <c r="F409" t="inlineStr">
        <is>
          <t>BLEKINGE LÄN</t>
        </is>
      </c>
      <c r="G409" t="inlineStr">
        <is>
          <t>RONNEBY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44945</v>
      </c>
      <c r="E410" s="1" t="n">
        <v>46257</v>
      </c>
      <c r="F410" t="inlineStr">
        <is>
          <t>BLEKINGE LÄN</t>
        </is>
      </c>
      <c r="G410" t="inlineStr">
        <is>
          <t>RONNEBY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31278-2026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46218</v>
      </c>
      <c r="E411" s="1" t="n">
        <v>46257</v>
      </c>
      <c r="F411" t="inlineStr">
        <is>
          <t>BLEKINGE LÄN</t>
        </is>
      </c>
      <c r="G411" t="inlineStr">
        <is>
          <t>RONNEBY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7347-2022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44606</v>
      </c>
      <c r="E412" s="1" t="n">
        <v>46257</v>
      </c>
      <c r="F412" t="inlineStr">
        <is>
          <t>BLEKINGE LÄN</t>
        </is>
      </c>
      <c r="G412" t="inlineStr">
        <is>
          <t>RONNEBY</t>
        </is>
      </c>
      <c r="I412" t="n">
        <v>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8747-2026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46257</v>
      </c>
      <c r="F413" t="inlineStr">
        <is>
          <t>BLEKINGE LÄN</t>
        </is>
      </c>
      <c r="G413" t="inlineStr">
        <is>
          <t>RONNEBY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9096-2026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46257</v>
      </c>
      <c r="F414" t="inlineStr">
        <is>
          <t>BLEKINGE LÄN</t>
        </is>
      </c>
      <c r="G414" t="inlineStr">
        <is>
          <t>RONNEBY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9448-2026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46257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42169-2023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45178</v>
      </c>
      <c r="E416" s="1" t="n">
        <v>46257</v>
      </c>
      <c r="F416" t="inlineStr">
        <is>
          <t>BLEKINGE LÄN</t>
        </is>
      </c>
      <c r="G416" t="inlineStr">
        <is>
          <t>RONNEBY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45068</v>
      </c>
      <c r="E417" s="1" t="n">
        <v>46257</v>
      </c>
      <c r="F417" t="inlineStr">
        <is>
          <t>BLEKINGE LÄN</t>
        </is>
      </c>
      <c r="G417" t="inlineStr">
        <is>
          <t>RONNEBY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36413-2024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45536</v>
      </c>
      <c r="E418" s="1" t="n">
        <v>46257</v>
      </c>
      <c r="F418" t="inlineStr">
        <is>
          <t>BLEKINGE LÄN</t>
        </is>
      </c>
      <c r="G418" t="inlineStr">
        <is>
          <t>RONNEBY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46257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46073</v>
      </c>
      <c r="E420" s="1" t="n">
        <v>46257</v>
      </c>
      <c r="F420" t="inlineStr">
        <is>
          <t>BLEKINGE LÄN</t>
        </is>
      </c>
      <c r="G420" t="inlineStr">
        <is>
          <t>RONNEBY</t>
        </is>
      </c>
      <c r="H420" t="inlineStr">
        <is>
          <t>Kyrkan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46073</v>
      </c>
      <c r="E421" s="1" t="n">
        <v>46257</v>
      </c>
      <c r="F421" t="inlineStr">
        <is>
          <t>BLEKINGE LÄN</t>
        </is>
      </c>
      <c r="G421" t="inlineStr">
        <is>
          <t>RONNEBY</t>
        </is>
      </c>
      <c r="H421" t="inlineStr">
        <is>
          <t>Kyrkan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46257</v>
      </c>
      <c r="F422" t="inlineStr">
        <is>
          <t>BLEKINGE LÄN</t>
        </is>
      </c>
      <c r="G422" t="inlineStr">
        <is>
          <t>RONNEBY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46257</v>
      </c>
      <c r="F423" t="inlineStr">
        <is>
          <t>BLEKINGE LÄN</t>
        </is>
      </c>
      <c r="G423" t="inlineStr">
        <is>
          <t>RONNEBY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22814-2023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45072</v>
      </c>
      <c r="E424" s="1" t="n">
        <v>46257</v>
      </c>
      <c r="F424" t="inlineStr">
        <is>
          <t>BLEKINGE LÄN</t>
        </is>
      </c>
      <c r="G424" t="inlineStr">
        <is>
          <t>RONNEBY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10567-2026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46077</v>
      </c>
      <c r="E425" s="1" t="n">
        <v>46257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46078</v>
      </c>
      <c r="E426" s="1" t="n">
        <v>46257</v>
      </c>
      <c r="F426" t="inlineStr">
        <is>
          <t>BLEKINGE LÄN</t>
        </is>
      </c>
      <c r="G426" t="inlineStr">
        <is>
          <t>RONNEBY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46257</v>
      </c>
      <c r="F427" t="inlineStr">
        <is>
          <t>BLEKINGE LÄN</t>
        </is>
      </c>
      <c r="G427" t="inlineStr">
        <is>
          <t>RONNEBY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46078</v>
      </c>
      <c r="E428" s="1" t="n">
        <v>46257</v>
      </c>
      <c r="F428" t="inlineStr">
        <is>
          <t>BLEKINGE LÄN</t>
        </is>
      </c>
      <c r="G428" t="inlineStr">
        <is>
          <t>RONNEBY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46078</v>
      </c>
      <c r="E429" s="1" t="n">
        <v>46257</v>
      </c>
      <c r="F429" t="inlineStr">
        <is>
          <t>BLEKINGE LÄN</t>
        </is>
      </c>
      <c r="G429" t="inlineStr">
        <is>
          <t>RONNEBY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46257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46257</v>
      </c>
      <c r="F431" t="inlineStr">
        <is>
          <t>BLEKINGE LÄN</t>
        </is>
      </c>
      <c r="G431" t="inlineStr">
        <is>
          <t>RONNEBY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11067-2026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46257</v>
      </c>
      <c r="F432" t="inlineStr">
        <is>
          <t>BLEKINGE LÄN</t>
        </is>
      </c>
      <c r="G432" t="inlineStr">
        <is>
          <t>RONNEBY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46257</v>
      </c>
      <c r="F433" t="inlineStr">
        <is>
          <t>BLEKINGE LÄN</t>
        </is>
      </c>
      <c r="G433" t="inlineStr">
        <is>
          <t>RONNEBY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45196</v>
      </c>
      <c r="E434" s="1" t="n">
        <v>46257</v>
      </c>
      <c r="F434" t="inlineStr">
        <is>
          <t>BLEKINGE LÄN</t>
        </is>
      </c>
      <c r="G434" t="inlineStr">
        <is>
          <t>RONNEBY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46079</v>
      </c>
      <c r="E435" s="1" t="n">
        <v>46257</v>
      </c>
      <c r="F435" t="inlineStr">
        <is>
          <t>BLEKINGE LÄN</t>
        </is>
      </c>
      <c r="G435" t="inlineStr">
        <is>
          <t>RONNEBY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11112-2026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46079</v>
      </c>
      <c r="E436" s="1" t="n">
        <v>46257</v>
      </c>
      <c r="F436" t="inlineStr">
        <is>
          <t>BLEKINGE LÄN</t>
        </is>
      </c>
      <c r="G436" t="inlineStr">
        <is>
          <t>RONNEBY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11104-2026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46257</v>
      </c>
      <c r="F437" t="inlineStr">
        <is>
          <t>BLEKINGE LÄN</t>
        </is>
      </c>
      <c r="G437" t="inlineStr">
        <is>
          <t>RONNEBY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46257</v>
      </c>
      <c r="F438" t="inlineStr">
        <is>
          <t>BLEKINGE LÄN</t>
        </is>
      </c>
      <c r="G438" t="inlineStr">
        <is>
          <t>RONNEBY</t>
        </is>
      </c>
      <c r="H438" t="inlineStr">
        <is>
          <t>Övriga Aktiebolag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26111-2026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46257</v>
      </c>
      <c r="F439" t="inlineStr">
        <is>
          <t>BLEKINGE LÄN</t>
        </is>
      </c>
      <c r="G439" t="inlineStr">
        <is>
          <t>RONNEBY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46646-2023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45195</v>
      </c>
      <c r="E440" s="1" t="n">
        <v>46257</v>
      </c>
      <c r="F440" t="inlineStr">
        <is>
          <t>BLEKINGE LÄN</t>
        </is>
      </c>
      <c r="G440" t="inlineStr">
        <is>
          <t>RONNEBY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24502-2023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46257</v>
      </c>
      <c r="F441" t="inlineStr">
        <is>
          <t>BLEKINGE LÄN</t>
        </is>
      </c>
      <c r="G441" t="inlineStr">
        <is>
          <t>RONNEBY</t>
        </is>
      </c>
      <c r="H441" t="inlineStr">
        <is>
          <t>Kommuner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45367-2023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45193</v>
      </c>
      <c r="E442" s="1" t="n">
        <v>46257</v>
      </c>
      <c r="F442" t="inlineStr">
        <is>
          <t>BLEKINGE LÄN</t>
        </is>
      </c>
      <c r="G442" t="inlineStr">
        <is>
          <t>RONNEBY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46086</v>
      </c>
      <c r="E443" s="1" t="n">
        <v>46257</v>
      </c>
      <c r="F443" t="inlineStr">
        <is>
          <t>BLEKINGE LÄN</t>
        </is>
      </c>
      <c r="G443" t="inlineStr">
        <is>
          <t>RONNEBY</t>
        </is>
      </c>
      <c r="H443" t="inlineStr">
        <is>
          <t>Övriga Aktiebolag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26779-2026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46184</v>
      </c>
      <c r="E444" s="1" t="n">
        <v>46257</v>
      </c>
      <c r="F444" t="inlineStr">
        <is>
          <t>BLEKINGE LÄN</t>
        </is>
      </c>
      <c r="G444" t="inlineStr">
        <is>
          <t>RONNEBY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26706-2026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46184</v>
      </c>
      <c r="E445" s="1" t="n">
        <v>46257</v>
      </c>
      <c r="F445" t="inlineStr">
        <is>
          <t>BLEKINGE LÄN</t>
        </is>
      </c>
      <c r="G445" t="inlineStr">
        <is>
          <t>RONNEBY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12125-2026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46086</v>
      </c>
      <c r="E446" s="1" t="n">
        <v>46257</v>
      </c>
      <c r="F446" t="inlineStr">
        <is>
          <t>BLEKINGE LÄN</t>
        </is>
      </c>
      <c r="G446" t="inlineStr">
        <is>
          <t>RONNEBY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46257</v>
      </c>
      <c r="F447" t="inlineStr">
        <is>
          <t>BLEKINGE LÄN</t>
        </is>
      </c>
      <c r="G447" t="inlineStr">
        <is>
          <t>RONNEBY</t>
        </is>
      </c>
      <c r="H447" t="inlineStr">
        <is>
          <t>Övriga Aktiebolag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45085</v>
      </c>
      <c r="E448" s="1" t="n">
        <v>46257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46226</v>
      </c>
      <c r="E449" s="1" t="n">
        <v>46257</v>
      </c>
      <c r="F449" t="inlineStr">
        <is>
          <t>BLEKINGE LÄN</t>
        </is>
      </c>
      <c r="G449" t="inlineStr">
        <is>
          <t>RONNEBY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26231-2023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46257</v>
      </c>
      <c r="F450" t="inlineStr">
        <is>
          <t>BLEKINGE LÄN</t>
        </is>
      </c>
      <c r="G450" t="inlineStr">
        <is>
          <t>RONNEBY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46229</v>
      </c>
      <c r="E451" s="1" t="n">
        <v>46257</v>
      </c>
      <c r="F451" t="inlineStr">
        <is>
          <t>BLEKINGE LÄN</t>
        </is>
      </c>
      <c r="G451" t="inlineStr">
        <is>
          <t>RONNEBY</t>
        </is>
      </c>
      <c r="H451" t="inlineStr">
        <is>
          <t>Övriga Aktiebolag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45110</v>
      </c>
      <c r="E452" s="1" t="n">
        <v>46257</v>
      </c>
      <c r="F452" t="inlineStr">
        <is>
          <t>BLEKINGE LÄN</t>
        </is>
      </c>
      <c r="G452" t="inlineStr">
        <is>
          <t>RONNEBY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45152</v>
      </c>
      <c r="E453" s="1" t="n">
        <v>46257</v>
      </c>
      <c r="F453" t="inlineStr">
        <is>
          <t>BLEKINGE LÄN</t>
        </is>
      </c>
      <c r="G453" t="inlineStr">
        <is>
          <t>RONNEBY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45139</v>
      </c>
      <c r="E454" s="1" t="n">
        <v>46257</v>
      </c>
      <c r="F454" t="inlineStr">
        <is>
          <t>BLEKINGE LÄN</t>
        </is>
      </c>
      <c r="G454" t="inlineStr">
        <is>
          <t>RONNEBY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41217-2023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45169</v>
      </c>
      <c r="E455" s="1" t="n">
        <v>46257</v>
      </c>
      <c r="F455" t="inlineStr">
        <is>
          <t>BLEKINGE LÄN</t>
        </is>
      </c>
      <c r="G455" t="inlineStr">
        <is>
          <t>RONNEBY</t>
        </is>
      </c>
      <c r="I455" t="n">
        <v>9.9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15095-2026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46257</v>
      </c>
      <c r="F456" t="inlineStr">
        <is>
          <t>BLEKINGE LÄN</t>
        </is>
      </c>
      <c r="G456" t="inlineStr">
        <is>
          <t>RONNEBY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15091-2026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46104</v>
      </c>
      <c r="E457" s="1" t="n">
        <v>46257</v>
      </c>
      <c r="F457" t="inlineStr">
        <is>
          <t>BLEKINGE LÄN</t>
        </is>
      </c>
      <c r="G457" t="inlineStr">
        <is>
          <t>RONNEBY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15102-2026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46257</v>
      </c>
      <c r="F458" t="inlineStr">
        <is>
          <t>BLEKINGE LÄN</t>
        </is>
      </c>
      <c r="G458" t="inlineStr">
        <is>
          <t>RONNEBY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31758-2023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45118</v>
      </c>
      <c r="E459" s="1" t="n">
        <v>46257</v>
      </c>
      <c r="F459" t="inlineStr">
        <is>
          <t>BLEKINGE LÄN</t>
        </is>
      </c>
      <c r="G459" t="inlineStr">
        <is>
          <t>RONNEBY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45178</v>
      </c>
      <c r="E460" s="1" t="n">
        <v>46257</v>
      </c>
      <c r="F460" t="inlineStr">
        <is>
          <t>BLEKINGE LÄN</t>
        </is>
      </c>
      <c r="G460" t="inlineStr">
        <is>
          <t>RONNEBY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15206-2026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46257</v>
      </c>
      <c r="F461" t="inlineStr">
        <is>
          <t>BLEKINGE LÄN</t>
        </is>
      </c>
      <c r="G461" t="inlineStr">
        <is>
          <t>RONNEBY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21203-2023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45062</v>
      </c>
      <c r="E462" s="1" t="n">
        <v>46257</v>
      </c>
      <c r="F462" t="inlineStr">
        <is>
          <t>BLEKINGE LÄN</t>
        </is>
      </c>
      <c r="G462" t="inlineStr">
        <is>
          <t>RONNEBY</t>
        </is>
      </c>
      <c r="H462" t="inlineStr">
        <is>
          <t>Kommuner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46884-2023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45201</v>
      </c>
      <c r="E463" s="1" t="n">
        <v>46257</v>
      </c>
      <c r="F463" t="inlineStr">
        <is>
          <t>BLEKINGE LÄN</t>
        </is>
      </c>
      <c r="G463" t="inlineStr">
        <is>
          <t>RONNEBY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46900-2023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45195</v>
      </c>
      <c r="E464" s="1" t="n">
        <v>46257</v>
      </c>
      <c r="F464" t="inlineStr">
        <is>
          <t>BLEKINGE LÄN</t>
        </is>
      </c>
      <c r="G464" t="inlineStr">
        <is>
          <t>RONNEBY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45027</v>
      </c>
      <c r="E465" s="1" t="n">
        <v>46257</v>
      </c>
      <c r="F465" t="inlineStr">
        <is>
          <t>BLEKINGE LÄN</t>
        </is>
      </c>
      <c r="G465" t="inlineStr">
        <is>
          <t>RONNEBY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45602</v>
      </c>
      <c r="E466" s="1" t="n">
        <v>46257</v>
      </c>
      <c r="F466" t="inlineStr">
        <is>
          <t>BLEKINGE LÄN</t>
        </is>
      </c>
      <c r="G466" t="inlineStr">
        <is>
          <t>RONNEBY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12414-2024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45378</v>
      </c>
      <c r="E467" s="1" t="n">
        <v>46257</v>
      </c>
      <c r="F467" t="inlineStr">
        <is>
          <t>BLEKINGE LÄN</t>
        </is>
      </c>
      <c r="G467" t="inlineStr">
        <is>
          <t>RONNEBY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15111-2026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46104</v>
      </c>
      <c r="E468" s="1" t="n">
        <v>46257</v>
      </c>
      <c r="F468" t="inlineStr">
        <is>
          <t>BLEKINGE LÄN</t>
        </is>
      </c>
      <c r="G468" t="inlineStr">
        <is>
          <t>RONNEBY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20594-2024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45436</v>
      </c>
      <c r="E469" s="1" t="n">
        <v>46257</v>
      </c>
      <c r="F469" t="inlineStr">
        <is>
          <t>BLEKINGE LÄN</t>
        </is>
      </c>
      <c r="G469" t="inlineStr">
        <is>
          <t>RONNEBY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8003-2024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45350</v>
      </c>
      <c r="E470" s="1" t="n">
        <v>46257</v>
      </c>
      <c r="F470" t="inlineStr">
        <is>
          <t>BLEKINGE LÄN</t>
        </is>
      </c>
      <c r="G470" t="inlineStr">
        <is>
          <t>RONNEBY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8004-2024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46257</v>
      </c>
      <c r="F471" t="inlineStr">
        <is>
          <t>BLEKINGE LÄN</t>
        </is>
      </c>
      <c r="G471" t="inlineStr">
        <is>
          <t>RONNEBY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46257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46257</v>
      </c>
      <c r="F473" t="inlineStr">
        <is>
          <t>BLEKINGE LÄN</t>
        </is>
      </c>
      <c r="G473" t="inlineStr">
        <is>
          <t>RONNEBY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45303</v>
      </c>
      <c r="E474" s="1" t="n">
        <v>46257</v>
      </c>
      <c r="F474" t="inlineStr">
        <is>
          <t>BLEKINGE LÄN</t>
        </is>
      </c>
      <c r="G474" t="inlineStr">
        <is>
          <t>RONNEBY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46257</v>
      </c>
      <c r="F475" t="inlineStr">
        <is>
          <t>BLEKINGE LÄN</t>
        </is>
      </c>
      <c r="G475" t="inlineStr">
        <is>
          <t>RONNEBY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46257</v>
      </c>
      <c r="F476" t="inlineStr">
        <is>
          <t>BLEKINGE LÄN</t>
        </is>
      </c>
      <c r="G476" t="inlineStr">
        <is>
          <t>RONNEBY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29648-2026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46257</v>
      </c>
      <c r="F477" t="inlineStr">
        <is>
          <t>BLEKINGE LÄN</t>
        </is>
      </c>
      <c r="G477" t="inlineStr">
        <is>
          <t>RONNEBY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45317-2025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45921</v>
      </c>
      <c r="E478" s="1" t="n">
        <v>46257</v>
      </c>
      <c r="F478" t="inlineStr">
        <is>
          <t>BLEKINGE LÄN</t>
        </is>
      </c>
      <c r="G478" t="inlineStr">
        <is>
          <t>RONNEBY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46257</v>
      </c>
      <c r="F479" t="inlineStr">
        <is>
          <t>BLEKINGE LÄN</t>
        </is>
      </c>
      <c r="G479" t="inlineStr">
        <is>
          <t>RONNEBY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36946-2022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44806</v>
      </c>
      <c r="E480" s="1" t="n">
        <v>46257</v>
      </c>
      <c r="F480" t="inlineStr">
        <is>
          <t>BLEKINGE LÄN</t>
        </is>
      </c>
      <c r="G480" t="inlineStr">
        <is>
          <t>RONNEBY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11179-2023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44992</v>
      </c>
      <c r="E481" s="1" t="n">
        <v>46257</v>
      </c>
      <c r="F481" t="inlineStr">
        <is>
          <t>BLEKINGE LÄN</t>
        </is>
      </c>
      <c r="G481" t="inlineStr">
        <is>
          <t>RONNEBY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18329-2026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46126</v>
      </c>
      <c r="E482" s="1" t="n">
        <v>46257</v>
      </c>
      <c r="F482" t="inlineStr">
        <is>
          <t>BLEKINGE LÄN</t>
        </is>
      </c>
      <c r="G482" t="inlineStr">
        <is>
          <t>RONNEBY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28732-2026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46198</v>
      </c>
      <c r="E483" s="1" t="n">
        <v>46257</v>
      </c>
      <c r="F483" t="inlineStr">
        <is>
          <t>BLEKINGE LÄN</t>
        </is>
      </c>
      <c r="G483" t="inlineStr">
        <is>
          <t>RONNEBY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57426-2023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45246</v>
      </c>
      <c r="E484" s="1" t="n">
        <v>46257</v>
      </c>
      <c r="F484" t="inlineStr">
        <is>
          <t>BLEKINGE LÄN</t>
        </is>
      </c>
      <c r="G484" t="inlineStr">
        <is>
          <t>RONNEBY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44565</v>
      </c>
      <c r="E485" s="1" t="n">
        <v>46257</v>
      </c>
      <c r="F485" t="inlineStr">
        <is>
          <t>BLEKINGE LÄN</t>
        </is>
      </c>
      <c r="G485" t="inlineStr">
        <is>
          <t>RONNEBY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55079-2023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45237</v>
      </c>
      <c r="E486" s="1" t="n">
        <v>46257</v>
      </c>
      <c r="F486" t="inlineStr">
        <is>
          <t>BLEKINGE LÄN</t>
        </is>
      </c>
      <c r="G486" t="inlineStr">
        <is>
          <t>RONNEBY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46257</v>
      </c>
      <c r="F487" t="inlineStr">
        <is>
          <t>BLEKINGE LÄN</t>
        </is>
      </c>
      <c r="G487" t="inlineStr">
        <is>
          <t>RONNEBY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46202</v>
      </c>
      <c r="E488" s="1" t="n">
        <v>46257</v>
      </c>
      <c r="F488" t="inlineStr">
        <is>
          <t>BLEKINGE LÄN</t>
        </is>
      </c>
      <c r="G488" t="inlineStr">
        <is>
          <t>RONNEBY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31415-2022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44774</v>
      </c>
      <c r="E489" s="1" t="n">
        <v>46257</v>
      </c>
      <c r="F489" t="inlineStr">
        <is>
          <t>BLEKINGE LÄN</t>
        </is>
      </c>
      <c r="G489" t="inlineStr">
        <is>
          <t>RONNEBY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38375-2024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46257</v>
      </c>
      <c r="F490" t="inlineStr">
        <is>
          <t>BLEKINGE LÄN</t>
        </is>
      </c>
      <c r="G490" t="inlineStr">
        <is>
          <t>RONNEBY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46257</v>
      </c>
      <c r="F491" t="inlineStr">
        <is>
          <t>BLEKINGE LÄN</t>
        </is>
      </c>
      <c r="G491" t="inlineStr">
        <is>
          <t>RONNEBY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45303</v>
      </c>
      <c r="E492" s="1" t="n">
        <v>46257</v>
      </c>
      <c r="F492" t="inlineStr">
        <is>
          <t>BLEKINGE LÄN</t>
        </is>
      </c>
      <c r="G492" t="inlineStr">
        <is>
          <t>RONNEBY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45430</v>
      </c>
      <c r="E493" s="1" t="n">
        <v>46257</v>
      </c>
      <c r="F493" t="inlineStr">
        <is>
          <t>BLEKINGE LÄN</t>
        </is>
      </c>
      <c r="G493" t="inlineStr">
        <is>
          <t>RONNEBY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44956</v>
      </c>
      <c r="E494" s="1" t="n">
        <v>46257</v>
      </c>
      <c r="F494" t="inlineStr">
        <is>
          <t>BLEKINGE LÄN</t>
        </is>
      </c>
      <c r="G494" t="inlineStr">
        <is>
          <t>RONNEBY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46202</v>
      </c>
      <c r="E495" s="1" t="n">
        <v>46257</v>
      </c>
      <c r="F495" t="inlineStr">
        <is>
          <t>BLEKINGE LÄN</t>
        </is>
      </c>
      <c r="G495" t="inlineStr">
        <is>
          <t>RONNEBY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6813-2024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45342</v>
      </c>
      <c r="E496" s="1" t="n">
        <v>46257</v>
      </c>
      <c r="F496" t="inlineStr">
        <is>
          <t>BLEKINGE LÄN</t>
        </is>
      </c>
      <c r="G496" t="inlineStr">
        <is>
          <t>RONNEBY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45342</v>
      </c>
      <c r="E497" s="1" t="n">
        <v>46257</v>
      </c>
      <c r="F497" t="inlineStr">
        <is>
          <t>BLEKINGE LÄN</t>
        </is>
      </c>
      <c r="G497" t="inlineStr">
        <is>
          <t>RONNEBY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45428</v>
      </c>
      <c r="E498" s="1" t="n">
        <v>46257</v>
      </c>
      <c r="F498" t="inlineStr">
        <is>
          <t>BLEKINGE LÄN</t>
        </is>
      </c>
      <c r="G498" t="inlineStr">
        <is>
          <t>RONNEBY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45373</v>
      </c>
      <c r="E499" s="1" t="n">
        <v>46257</v>
      </c>
      <c r="F499" t="inlineStr">
        <is>
          <t>BLEKINGE LÄN</t>
        </is>
      </c>
      <c r="G499" t="inlineStr">
        <is>
          <t>RONNEBY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45724</v>
      </c>
      <c r="E500" s="1" t="n">
        <v>46257</v>
      </c>
      <c r="F500" t="inlineStr">
        <is>
          <t>BLEKINGE LÄN</t>
        </is>
      </c>
      <c r="G500" t="inlineStr">
        <is>
          <t>RONNEBY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14234-2022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44651</v>
      </c>
      <c r="E501" s="1" t="n">
        <v>46257</v>
      </c>
      <c r="F501" t="inlineStr">
        <is>
          <t>BLEKINGE LÄN</t>
        </is>
      </c>
      <c r="G501" t="inlineStr">
        <is>
          <t>RONNEBY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46062</v>
      </c>
      <c r="E502" s="1" t="n">
        <v>46257</v>
      </c>
      <c r="F502" t="inlineStr">
        <is>
          <t>BLEKINGE LÄN</t>
        </is>
      </c>
      <c r="G502" t="inlineStr">
        <is>
          <t>RONNEBY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56435-2024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45625</v>
      </c>
      <c r="E503" s="1" t="n">
        <v>46257</v>
      </c>
      <c r="F503" t="inlineStr">
        <is>
          <t>BLEKINGE LÄN</t>
        </is>
      </c>
      <c r="G503" t="inlineStr">
        <is>
          <t>RONNEBY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33489-2026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46247</v>
      </c>
      <c r="E504" s="1" t="n">
        <v>46257</v>
      </c>
      <c r="F504" t="inlineStr">
        <is>
          <t>BLEKINGE LÄN</t>
        </is>
      </c>
      <c r="G504" t="inlineStr">
        <is>
          <t>RONNEBY</t>
        </is>
      </c>
      <c r="H504" t="inlineStr">
        <is>
          <t>Övriga Aktiebolag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41682-2024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45560</v>
      </c>
      <c r="E505" s="1" t="n">
        <v>46257</v>
      </c>
      <c r="F505" t="inlineStr">
        <is>
          <t>BLEKINGE LÄN</t>
        </is>
      </c>
      <c r="G505" t="inlineStr">
        <is>
          <t>RONNEBY</t>
        </is>
      </c>
      <c r="H505" t="inlineStr">
        <is>
          <t>Övriga Aktiebolag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45677</v>
      </c>
      <c r="E506" s="1" t="n">
        <v>46257</v>
      </c>
      <c r="F506" t="inlineStr">
        <is>
          <t>BLEKINGE LÄN</t>
        </is>
      </c>
      <c r="G506" t="inlineStr">
        <is>
          <t>RONNEBY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46257</v>
      </c>
      <c r="F507" t="inlineStr">
        <is>
          <t>BLEKINGE LÄN</t>
        </is>
      </c>
      <c r="G507" t="inlineStr">
        <is>
          <t>RONNEBY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44992</v>
      </c>
      <c r="E508" s="1" t="n">
        <v>46257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46139</v>
      </c>
      <c r="E509" s="1" t="n">
        <v>46257</v>
      </c>
      <c r="F509" t="inlineStr">
        <is>
          <t>BLEKINGE LÄN</t>
        </is>
      </c>
      <c r="G509" t="inlineStr">
        <is>
          <t>RONNEBY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27400-2023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45097</v>
      </c>
      <c r="E510" s="1" t="n">
        <v>46257</v>
      </c>
      <c r="F510" t="inlineStr">
        <is>
          <t>BLEKINGE LÄN</t>
        </is>
      </c>
      <c r="G510" t="inlineStr">
        <is>
          <t>RONNEBY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44530-2023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45189</v>
      </c>
      <c r="E511" s="1" t="n">
        <v>46257</v>
      </c>
      <c r="F511" t="inlineStr">
        <is>
          <t>BLEKINGE LÄN</t>
        </is>
      </c>
      <c r="G511" t="inlineStr">
        <is>
          <t>RONNEBY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19642-2023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45051</v>
      </c>
      <c r="E512" s="1" t="n">
        <v>46257</v>
      </c>
      <c r="F512" t="inlineStr">
        <is>
          <t>BLEKINGE LÄN</t>
        </is>
      </c>
      <c r="G512" t="inlineStr">
        <is>
          <t>RONNEBY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26889-2025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45811</v>
      </c>
      <c r="E513" s="1" t="n">
        <v>46257</v>
      </c>
      <c r="F513" t="inlineStr">
        <is>
          <t>BLEKINGE LÄN</t>
        </is>
      </c>
      <c r="G513" t="inlineStr">
        <is>
          <t>RONNEBY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45006</v>
      </c>
      <c r="E514" s="1" t="n">
        <v>46257</v>
      </c>
      <c r="F514" t="inlineStr">
        <is>
          <t>BLEKINGE LÄN</t>
        </is>
      </c>
      <c r="G514" t="inlineStr">
        <is>
          <t>RONNEBY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41660-2024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45560</v>
      </c>
      <c r="E515" s="1" t="n">
        <v>46257</v>
      </c>
      <c r="F515" t="inlineStr">
        <is>
          <t>BLEKINGE LÄN</t>
        </is>
      </c>
      <c r="G515" t="inlineStr">
        <is>
          <t>RONNEBY</t>
        </is>
      </c>
      <c r="H515" t="inlineStr">
        <is>
          <t>Övriga Aktiebolag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45139</v>
      </c>
      <c r="E516" s="1" t="n">
        <v>46257</v>
      </c>
      <c r="F516" t="inlineStr">
        <is>
          <t>BLEKINGE LÄN</t>
        </is>
      </c>
      <c r="G516" t="inlineStr">
        <is>
          <t>RONNEBY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45670</v>
      </c>
      <c r="E517" s="1" t="n">
        <v>46257</v>
      </c>
      <c r="F517" t="inlineStr">
        <is>
          <t>BLEKINGE LÄN</t>
        </is>
      </c>
      <c r="G517" t="inlineStr">
        <is>
          <t>RONNEBY</t>
        </is>
      </c>
      <c r="I517" t="n">
        <v>12.6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47971-2025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45932</v>
      </c>
      <c r="E518" s="1" t="n">
        <v>46257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47160-2025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45929</v>
      </c>
      <c r="E519" s="1" t="n">
        <v>46257</v>
      </c>
      <c r="F519" t="inlineStr">
        <is>
          <t>BLEKINGE LÄN</t>
        </is>
      </c>
      <c r="G519" t="inlineStr">
        <is>
          <t>RONNEBY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29987-2026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46257</v>
      </c>
      <c r="F520" t="inlineStr">
        <is>
          <t>BLEKINGE LÄN</t>
        </is>
      </c>
      <c r="G520" t="inlineStr">
        <is>
          <t>RONNEBY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23424-2023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45076</v>
      </c>
      <c r="E521" s="1" t="n">
        <v>46257</v>
      </c>
      <c r="F521" t="inlineStr">
        <is>
          <t>BLEKINGE LÄN</t>
        </is>
      </c>
      <c r="G521" t="inlineStr">
        <is>
          <t>RONNEBY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39838-2025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45891</v>
      </c>
      <c r="E522" s="1" t="n">
        <v>46257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39844-2025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45891</v>
      </c>
      <c r="E523" s="1" t="n">
        <v>46257</v>
      </c>
      <c r="F523" t="inlineStr">
        <is>
          <t>BLEKINGE LÄN</t>
        </is>
      </c>
      <c r="G523" t="inlineStr">
        <is>
          <t>RONNEBY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45673</v>
      </c>
      <c r="E524" s="1" t="n">
        <v>46257</v>
      </c>
      <c r="F524" t="inlineStr">
        <is>
          <t>BLEKINGE LÄN</t>
        </is>
      </c>
      <c r="G524" t="inlineStr">
        <is>
          <t>RONNEBY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45440</v>
      </c>
      <c r="E525" s="1" t="n">
        <v>46257</v>
      </c>
      <c r="F525" t="inlineStr">
        <is>
          <t>BLEKINGE LÄN</t>
        </is>
      </c>
      <c r="G525" t="inlineStr">
        <is>
          <t>RONNEBY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39925-2022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44819</v>
      </c>
      <c r="E526" s="1" t="n">
        <v>46257</v>
      </c>
      <c r="F526" t="inlineStr">
        <is>
          <t>BLEKINGE LÄN</t>
        </is>
      </c>
      <c r="G526" t="inlineStr">
        <is>
          <t>RONNEBY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15196-2022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44658</v>
      </c>
      <c r="E527" s="1" t="n">
        <v>46257</v>
      </c>
      <c r="F527" t="inlineStr">
        <is>
          <t>BLEKINGE LÄN</t>
        </is>
      </c>
      <c r="G527" t="inlineStr">
        <is>
          <t>RONNEBY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33519-2026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46248</v>
      </c>
      <c r="E528" s="1" t="n">
        <v>46257</v>
      </c>
      <c r="F528" t="inlineStr">
        <is>
          <t>BLEKINGE LÄN</t>
        </is>
      </c>
      <c r="G528" t="inlineStr">
        <is>
          <t>RONNEBY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46210</v>
      </c>
      <c r="E529" s="1" t="n">
        <v>46257</v>
      </c>
      <c r="F529" t="inlineStr">
        <is>
          <t>BLEKINGE LÄN</t>
        </is>
      </c>
      <c r="G529" t="inlineStr">
        <is>
          <t>RONNEBY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20353-2026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46139</v>
      </c>
      <c r="E530" s="1" t="n">
        <v>46257</v>
      </c>
      <c r="F530" t="inlineStr">
        <is>
          <t>BLEKINGE LÄN</t>
        </is>
      </c>
      <c r="G530" t="inlineStr">
        <is>
          <t>RONNEBY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4338-2025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45685</v>
      </c>
      <c r="E531" s="1" t="n">
        <v>46257</v>
      </c>
      <c r="F531" t="inlineStr">
        <is>
          <t>BLEKINGE LÄN</t>
        </is>
      </c>
      <c r="G531" t="inlineStr">
        <is>
          <t>RONNEBY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46257</v>
      </c>
      <c r="F532" t="inlineStr">
        <is>
          <t>BLEKINGE LÄN</t>
        </is>
      </c>
      <c r="G532" t="inlineStr">
        <is>
          <t>RONNEBY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38090-2024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45545</v>
      </c>
      <c r="E533" s="1" t="n">
        <v>46257</v>
      </c>
      <c r="F533" t="inlineStr">
        <is>
          <t>BLEKINGE LÄN</t>
        </is>
      </c>
      <c r="G533" t="inlineStr">
        <is>
          <t>RONNEBY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32172-2023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46257</v>
      </c>
      <c r="F534" t="inlineStr">
        <is>
          <t>BLEKINGE LÄN</t>
        </is>
      </c>
      <c r="G534" t="inlineStr">
        <is>
          <t>RONNEBY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30407-2026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46209</v>
      </c>
      <c r="E535" s="1" t="n">
        <v>46257</v>
      </c>
      <c r="F535" t="inlineStr">
        <is>
          <t>BLEKINGE LÄN</t>
        </is>
      </c>
      <c r="G535" t="inlineStr">
        <is>
          <t>RONNEBY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46253</v>
      </c>
      <c r="E536" s="1" t="n">
        <v>46257</v>
      </c>
      <c r="F536" t="inlineStr">
        <is>
          <t>BLEKINGE LÄN</t>
        </is>
      </c>
      <c r="G536" t="inlineStr">
        <is>
          <t>RONNEBY</t>
        </is>
      </c>
      <c r="H536" t="inlineStr">
        <is>
          <t>Övriga Aktiebolag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30564-2026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46210</v>
      </c>
      <c r="E537" s="1" t="n">
        <v>46257</v>
      </c>
      <c r="F537" t="inlineStr">
        <is>
          <t>BLEKINGE LÄN</t>
        </is>
      </c>
      <c r="G537" t="inlineStr">
        <is>
          <t>RONNEBY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28962-2025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45821</v>
      </c>
      <c r="E538" s="1" t="n">
        <v>46257</v>
      </c>
      <c r="F538" t="inlineStr">
        <is>
          <t>BLEKINGE LÄN</t>
        </is>
      </c>
      <c r="G538" t="inlineStr">
        <is>
          <t>RONNEBY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46883-2023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45201</v>
      </c>
      <c r="E539" s="1" t="n">
        <v>46257</v>
      </c>
      <c r="F539" t="inlineStr">
        <is>
          <t>BLEKINGE LÄN</t>
        </is>
      </c>
      <c r="G539" t="inlineStr">
        <is>
          <t>RONNEBY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11242-2023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44992</v>
      </c>
      <c r="E540" s="1" t="n">
        <v>46257</v>
      </c>
      <c r="F540" t="inlineStr">
        <is>
          <t>BLEKINGE LÄN</t>
        </is>
      </c>
      <c r="G540" t="inlineStr">
        <is>
          <t>RONNEBY</t>
        </is>
      </c>
      <c r="H540" t="inlineStr">
        <is>
          <t>Övriga Aktiebolag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54248-2025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45964</v>
      </c>
      <c r="E541" s="1" t="n">
        <v>46257</v>
      </c>
      <c r="F541" t="inlineStr">
        <is>
          <t>BLEKINGE LÄN</t>
        </is>
      </c>
      <c r="G541" t="inlineStr">
        <is>
          <t>RONNEBY</t>
        </is>
      </c>
      <c r="H541" t="inlineStr">
        <is>
          <t>Kommuner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45063</v>
      </c>
      <c r="E542" s="1" t="n">
        <v>46257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7.4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34160-2026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46253</v>
      </c>
      <c r="E543" s="1" t="n">
        <v>46257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28704-2022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44748</v>
      </c>
      <c r="E544" s="1" t="n">
        <v>46257</v>
      </c>
      <c r="F544" t="inlineStr">
        <is>
          <t>BLEKINGE LÄN</t>
        </is>
      </c>
      <c r="G544" t="inlineStr">
        <is>
          <t>RONNEBY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52884-2025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45954</v>
      </c>
      <c r="E545" s="1" t="n">
        <v>46257</v>
      </c>
      <c r="F545" t="inlineStr">
        <is>
          <t>BLEKINGE LÄN</t>
        </is>
      </c>
      <c r="G545" t="inlineStr">
        <is>
          <t>RONNEBY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30408-2026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46257</v>
      </c>
      <c r="F546" t="inlineStr">
        <is>
          <t>BLEKINGE LÄN</t>
        </is>
      </c>
      <c r="G546" t="inlineStr">
        <is>
          <t>RONNEBY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46257</v>
      </c>
      <c r="F547" t="inlineStr">
        <is>
          <t>BLEKINGE LÄN</t>
        </is>
      </c>
      <c r="G547" t="inlineStr">
        <is>
          <t>RONNEBY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31342-2026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46212</v>
      </c>
      <c r="E548" s="1" t="n">
        <v>46257</v>
      </c>
      <c r="F548" t="inlineStr">
        <is>
          <t>BLEKINGE LÄN</t>
        </is>
      </c>
      <c r="G548" t="inlineStr">
        <is>
          <t>RONNEBY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46257</v>
      </c>
      <c r="F549" t="inlineStr">
        <is>
          <t>BLEKINGE LÄN</t>
        </is>
      </c>
      <c r="G549" t="inlineStr">
        <is>
          <t>RONNEBY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23820-2023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45078</v>
      </c>
      <c r="E550" s="1" t="n">
        <v>46257</v>
      </c>
      <c r="F550" t="inlineStr">
        <is>
          <t>BLEKINGE LÄN</t>
        </is>
      </c>
      <c r="G550" t="inlineStr">
        <is>
          <t>RONNEBY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39426-2025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45889</v>
      </c>
      <c r="E551" s="1" t="n">
        <v>46257</v>
      </c>
      <c r="F551" t="inlineStr">
        <is>
          <t>BLEKINGE LÄN</t>
        </is>
      </c>
      <c r="G551" t="inlineStr">
        <is>
          <t>RONNEBY</t>
        </is>
      </c>
      <c r="H551" t="inlineStr">
        <is>
          <t>Övriga Aktiebolag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4469-2024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45327</v>
      </c>
      <c r="E552" s="1" t="n">
        <v>46257</v>
      </c>
      <c r="F552" t="inlineStr">
        <is>
          <t>BLEKINGE LÄN</t>
        </is>
      </c>
      <c r="G552" t="inlineStr">
        <is>
          <t>RONNEBY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50198-2024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45600</v>
      </c>
      <c r="E553" s="1" t="n">
        <v>46257</v>
      </c>
      <c r="F553" t="inlineStr">
        <is>
          <t>BLEKINGE LÄN</t>
        </is>
      </c>
      <c r="G553" t="inlineStr">
        <is>
          <t>RONNEBY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53366-2021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44466</v>
      </c>
      <c r="E554" s="1" t="n">
        <v>46257</v>
      </c>
      <c r="F554" t="inlineStr">
        <is>
          <t>BLEKINGE LÄN</t>
        </is>
      </c>
      <c r="G554" t="inlineStr">
        <is>
          <t>RONNEBY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46140</v>
      </c>
      <c r="E555" s="1" t="n">
        <v>46257</v>
      </c>
      <c r="F555" t="inlineStr">
        <is>
          <t>BLEKINGE LÄN</t>
        </is>
      </c>
      <c r="G555" t="inlineStr">
        <is>
          <t>RONNEBY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44980</v>
      </c>
      <c r="E556" s="1" t="n">
        <v>46257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41863-2025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45903</v>
      </c>
      <c r="E557" s="1" t="n">
        <v>46257</v>
      </c>
      <c r="F557" t="inlineStr">
        <is>
          <t>BLEKINGE LÄN</t>
        </is>
      </c>
      <c r="G557" t="inlineStr">
        <is>
          <t>RONNEBY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45559</v>
      </c>
      <c r="E558" s="1" t="n">
        <v>46257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39247-2025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45889</v>
      </c>
      <c r="E559" s="1" t="n">
        <v>46257</v>
      </c>
      <c r="F559" t="inlineStr">
        <is>
          <t>BLEKINGE LÄN</t>
        </is>
      </c>
      <c r="G559" t="inlineStr">
        <is>
          <t>RONNEBY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6618-2023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44966</v>
      </c>
      <c r="E560" s="1" t="n">
        <v>46257</v>
      </c>
      <c r="F560" t="inlineStr">
        <is>
          <t>BLEKINGE LÄN</t>
        </is>
      </c>
      <c r="G560" t="inlineStr">
        <is>
          <t>RONNEBY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44950</v>
      </c>
      <c r="E561" s="1" t="n">
        <v>46257</v>
      </c>
      <c r="F561" t="inlineStr">
        <is>
          <t>BLEKINGE LÄN</t>
        </is>
      </c>
      <c r="G561" t="inlineStr">
        <is>
          <t>RONNEBY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10920-2025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45722</v>
      </c>
      <c r="E562" s="1" t="n">
        <v>46257</v>
      </c>
      <c r="F562" t="inlineStr">
        <is>
          <t>BLEKINGE LÄN</t>
        </is>
      </c>
      <c r="G562" t="inlineStr">
        <is>
          <t>RONNEBY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20546-2026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46257</v>
      </c>
      <c r="F563" t="inlineStr">
        <is>
          <t>BLEKINGE LÄN</t>
        </is>
      </c>
      <c r="G563" t="inlineStr">
        <is>
          <t>RONNEBY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20551-2026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46140</v>
      </c>
      <c r="E564" s="1" t="n">
        <v>46257</v>
      </c>
      <c r="F564" t="inlineStr">
        <is>
          <t>BLEKINGE LÄN</t>
        </is>
      </c>
      <c r="G564" t="inlineStr">
        <is>
          <t>RONNEBY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20822-2023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45058</v>
      </c>
      <c r="E565" s="1" t="n">
        <v>46257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46257</v>
      </c>
      <c r="F566" t="inlineStr">
        <is>
          <t>BLEKINGE LÄN</t>
        </is>
      </c>
      <c r="G566" t="inlineStr">
        <is>
          <t>RONNEBY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41665-2024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46257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20544-2026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46140</v>
      </c>
      <c r="E568" s="1" t="n">
        <v>46257</v>
      </c>
      <c r="F568" t="inlineStr">
        <is>
          <t>BLEKINGE LÄN</t>
        </is>
      </c>
      <c r="G568" t="inlineStr">
        <is>
          <t>RONNEBY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45407-2023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45194</v>
      </c>
      <c r="E569" s="1" t="n">
        <v>46257</v>
      </c>
      <c r="F569" t="inlineStr">
        <is>
          <t>BLEKINGE LÄN</t>
        </is>
      </c>
      <c r="G569" t="inlineStr">
        <is>
          <t>RONNEBY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46257</v>
      </c>
      <c r="F570" t="inlineStr">
        <is>
          <t>BLEKINGE LÄN</t>
        </is>
      </c>
      <c r="G570" t="inlineStr">
        <is>
          <t>RONNEBY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20580-2023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45057</v>
      </c>
      <c r="E571" s="1" t="n">
        <v>46257</v>
      </c>
      <c r="F571" t="inlineStr">
        <is>
          <t>BLEKINGE LÄN</t>
        </is>
      </c>
      <c r="G571" t="inlineStr">
        <is>
          <t>RONNEBY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14335-2023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45012</v>
      </c>
      <c r="E572" s="1" t="n">
        <v>46257</v>
      </c>
      <c r="F572" t="inlineStr">
        <is>
          <t>BLEKINGE LÄN</t>
        </is>
      </c>
      <c r="G572" t="inlineStr">
        <is>
          <t>RONNEBY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14357-2023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45012</v>
      </c>
      <c r="E573" s="1" t="n">
        <v>46257</v>
      </c>
      <c r="F573" t="inlineStr">
        <is>
          <t>BLEKINGE LÄN</t>
        </is>
      </c>
      <c r="G573" t="inlineStr">
        <is>
          <t>RONNEBY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58552-2022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44902</v>
      </c>
      <c r="E574" s="1" t="n">
        <v>46257</v>
      </c>
      <c r="F574" t="inlineStr">
        <is>
          <t>BLEKINGE LÄN</t>
        </is>
      </c>
      <c r="G574" t="inlineStr">
        <is>
          <t>RONNEBY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55350-2023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45238</v>
      </c>
      <c r="E575" s="1" t="n">
        <v>46257</v>
      </c>
      <c r="F575" t="inlineStr">
        <is>
          <t>BLEKINGE LÄN</t>
        </is>
      </c>
      <c r="G575" t="inlineStr">
        <is>
          <t>RONNEBY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46257</v>
      </c>
      <c r="F576" t="inlineStr">
        <is>
          <t>BLEKINGE LÄN</t>
        </is>
      </c>
      <c r="G576" t="inlineStr">
        <is>
          <t>RONNEBY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46149</v>
      </c>
      <c r="E577" s="1" t="n">
        <v>46257</v>
      </c>
      <c r="F577" t="inlineStr">
        <is>
          <t>BLEKINGE LÄN</t>
        </is>
      </c>
      <c r="G577" t="inlineStr">
        <is>
          <t>RONNEBY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46149</v>
      </c>
      <c r="E578" s="1" t="n">
        <v>46257</v>
      </c>
      <c r="F578" t="inlineStr">
        <is>
          <t>BLEKINGE LÄN</t>
        </is>
      </c>
      <c r="G578" t="inlineStr">
        <is>
          <t>RONNEBY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38341-2024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46257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53188-2023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45229</v>
      </c>
      <c r="E580" s="1" t="n">
        <v>46257</v>
      </c>
      <c r="F580" t="inlineStr">
        <is>
          <t>BLEKINGE LÄN</t>
        </is>
      </c>
      <c r="G580" t="inlineStr">
        <is>
          <t>RONNEBY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29015-2023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45104</v>
      </c>
      <c r="E581" s="1" t="n">
        <v>46257</v>
      </c>
      <c r="F581" t="inlineStr">
        <is>
          <t>BLEKINGE LÄN</t>
        </is>
      </c>
      <c r="G581" t="inlineStr">
        <is>
          <t>RONNEBY</t>
        </is>
      </c>
      <c r="H581" t="inlineStr">
        <is>
          <t>Övriga Aktiebolag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46257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44452-2024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45574</v>
      </c>
      <c r="E583" s="1" t="n">
        <v>46257</v>
      </c>
      <c r="F583" t="inlineStr">
        <is>
          <t>BLEKINGE LÄN</t>
        </is>
      </c>
      <c r="G583" t="inlineStr">
        <is>
          <t>RONNEBY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34888-2024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45527</v>
      </c>
      <c r="E584" s="1" t="n">
        <v>46257</v>
      </c>
      <c r="F584" t="inlineStr">
        <is>
          <t>BLEKINGE LÄN</t>
        </is>
      </c>
      <c r="G584" t="inlineStr">
        <is>
          <t>RONNEBY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35622-2024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45531</v>
      </c>
      <c r="E585" s="1" t="n">
        <v>46257</v>
      </c>
      <c r="F585" t="inlineStr">
        <is>
          <t>BLEKINGE LÄN</t>
        </is>
      </c>
      <c r="G585" t="inlineStr">
        <is>
          <t>RONNEBY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43339-2021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44432</v>
      </c>
      <c r="E586" s="1" t="n">
        <v>46257</v>
      </c>
      <c r="F586" t="inlineStr">
        <is>
          <t>BLEKINGE LÄN</t>
        </is>
      </c>
      <c r="G586" t="inlineStr">
        <is>
          <t>RONNEBY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46257</v>
      </c>
      <c r="F587" t="inlineStr">
        <is>
          <t>BLEKINGE LÄN</t>
        </is>
      </c>
      <c r="G587" t="inlineStr">
        <is>
          <t>RONNEBY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45691</v>
      </c>
      <c r="E588" s="1" t="n">
        <v>46257</v>
      </c>
      <c r="F588" t="inlineStr">
        <is>
          <t>BLEKINGE LÄN</t>
        </is>
      </c>
      <c r="G588" t="inlineStr">
        <is>
          <t>RONNEBY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14429-2024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45394</v>
      </c>
      <c r="E589" s="1" t="n">
        <v>46257</v>
      </c>
      <c r="F589" t="inlineStr">
        <is>
          <t>BLEKINGE LÄN</t>
        </is>
      </c>
      <c r="G589" t="inlineStr">
        <is>
          <t>RONNEBY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52279-2024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45608</v>
      </c>
      <c r="E590" s="1" t="n">
        <v>46257</v>
      </c>
      <c r="F590" t="inlineStr">
        <is>
          <t>BLEKINGE LÄN</t>
        </is>
      </c>
      <c r="G590" t="inlineStr">
        <is>
          <t>RONNEBY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44966</v>
      </c>
      <c r="E591" s="1" t="n">
        <v>46257</v>
      </c>
      <c r="F591" t="inlineStr">
        <is>
          <t>BLEKINGE LÄN</t>
        </is>
      </c>
      <c r="G591" t="inlineStr">
        <is>
          <t>RONNEBY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29077-2023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46257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45502</v>
      </c>
      <c r="E593" s="1" t="n">
        <v>46257</v>
      </c>
      <c r="F593" t="inlineStr">
        <is>
          <t>BLEKINGE LÄN</t>
        </is>
      </c>
      <c r="G593" t="inlineStr">
        <is>
          <t>RONNEBY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33535-2025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45841</v>
      </c>
      <c r="E594" s="1" t="n">
        <v>46257</v>
      </c>
      <c r="F594" t="inlineStr">
        <is>
          <t>BLEKINGE LÄN</t>
        </is>
      </c>
      <c r="G594" t="inlineStr">
        <is>
          <t>RONNEBY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22193-2025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45785</v>
      </c>
      <c r="E595" s="1" t="n">
        <v>46257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7.2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45567</v>
      </c>
      <c r="E596" s="1" t="n">
        <v>46257</v>
      </c>
      <c r="F596" t="inlineStr">
        <is>
          <t>BLEKINGE LÄN</t>
        </is>
      </c>
      <c r="G596" t="inlineStr">
        <is>
          <t>RONNEBY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61346-2024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46257</v>
      </c>
      <c r="F597" t="inlineStr">
        <is>
          <t>BLEKINGE LÄN</t>
        </is>
      </c>
      <c r="G597" t="inlineStr">
        <is>
          <t>RONNEBY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23382-2026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46162</v>
      </c>
      <c r="E598" s="1" t="n">
        <v>46257</v>
      </c>
      <c r="F598" t="inlineStr">
        <is>
          <t>BLEKINGE LÄN</t>
        </is>
      </c>
      <c r="G598" t="inlineStr">
        <is>
          <t>RONNEBY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34884-2024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45527</v>
      </c>
      <c r="E599" s="1" t="n">
        <v>46257</v>
      </c>
      <c r="F599" t="inlineStr">
        <is>
          <t>BLEKINGE LÄN</t>
        </is>
      </c>
      <c r="G599" t="inlineStr">
        <is>
          <t>RONNEBY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38463-2024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46257</v>
      </c>
      <c r="F600" t="inlineStr">
        <is>
          <t>BLEKINGE LÄN</t>
        </is>
      </c>
      <c r="G600" t="inlineStr">
        <is>
          <t>RONNEBY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11168-2025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45724</v>
      </c>
      <c r="E601" s="1" t="n">
        <v>46257</v>
      </c>
      <c r="F601" t="inlineStr">
        <is>
          <t>BLEKINGE LÄN</t>
        </is>
      </c>
      <c r="G601" t="inlineStr">
        <is>
          <t>RONNEBY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45642-2024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46257</v>
      </c>
      <c r="F602" t="inlineStr">
        <is>
          <t>BLEKINGE LÄN</t>
        </is>
      </c>
      <c r="G602" t="inlineStr">
        <is>
          <t>RONNEBY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43875-2021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44434</v>
      </c>
      <c r="E603" s="1" t="n">
        <v>46257</v>
      </c>
      <c r="F603" t="inlineStr">
        <is>
          <t>BLEKINGE LÄN</t>
        </is>
      </c>
      <c r="G603" t="inlineStr">
        <is>
          <t>RONNEBY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35245-2024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45530</v>
      </c>
      <c r="E604" s="1" t="n">
        <v>46257</v>
      </c>
      <c r="F604" t="inlineStr">
        <is>
          <t>BLEKINGE LÄN</t>
        </is>
      </c>
      <c r="G604" t="inlineStr">
        <is>
          <t>RONNEBY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61309-2024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45646</v>
      </c>
      <c r="E605" s="1" t="n">
        <v>46257</v>
      </c>
      <c r="F605" t="inlineStr">
        <is>
          <t>BLEKINGE LÄN</t>
        </is>
      </c>
      <c r="G605" t="inlineStr">
        <is>
          <t>RONNEBY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42212-2024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45562</v>
      </c>
      <c r="E606" s="1" t="n">
        <v>46257</v>
      </c>
      <c r="F606" t="inlineStr">
        <is>
          <t>BLEKINGE LÄN</t>
        </is>
      </c>
      <c r="G606" t="inlineStr">
        <is>
          <t>RONNEBY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39564-2024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45551</v>
      </c>
      <c r="E607" s="1" t="n">
        <v>46257</v>
      </c>
      <c r="F607" t="inlineStr">
        <is>
          <t>BLEKINGE LÄN</t>
        </is>
      </c>
      <c r="G607" t="inlineStr">
        <is>
          <t>RONNEBY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64469-2023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45280</v>
      </c>
      <c r="E608" s="1" t="n">
        <v>46257</v>
      </c>
      <c r="F608" t="inlineStr">
        <is>
          <t>BLEKINGE LÄN</t>
        </is>
      </c>
      <c r="G608" t="inlineStr">
        <is>
          <t>RONNEBY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23383-2025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46257</v>
      </c>
      <c r="F609" t="inlineStr">
        <is>
          <t>BLEKINGE LÄN</t>
        </is>
      </c>
      <c r="G609" t="inlineStr">
        <is>
          <t>RONNEBY</t>
        </is>
      </c>
      <c r="H609" t="inlineStr">
        <is>
          <t>Övriga Aktiebolag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45672</v>
      </c>
      <c r="E610" s="1" t="n">
        <v>46257</v>
      </c>
      <c r="F610" t="inlineStr">
        <is>
          <t>BLEKINGE LÄN</t>
        </is>
      </c>
      <c r="G610" t="inlineStr">
        <is>
          <t>RONNEBY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7835-2023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44973</v>
      </c>
      <c r="E611" s="1" t="n">
        <v>46257</v>
      </c>
      <c r="F611" t="inlineStr">
        <is>
          <t>BLEKINGE LÄN</t>
        </is>
      </c>
      <c r="G611" t="inlineStr">
        <is>
          <t>RONNEBY</t>
        </is>
      </c>
      <c r="H611" t="inlineStr">
        <is>
          <t>Övriga Aktiebolag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24013-2023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45078</v>
      </c>
      <c r="E612" s="1" t="n">
        <v>46257</v>
      </c>
      <c r="F612" t="inlineStr">
        <is>
          <t>BLEKINGE LÄN</t>
        </is>
      </c>
      <c r="G612" t="inlineStr">
        <is>
          <t>RONNEBY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46257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46257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46257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46257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46257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5856-2021</t>
        </is>
      </c>
      <c r="B618" t="inlineStr">
        <is>
          <t>samrådsanmälan</t>
        </is>
      </c>
      <c r="C618" t="inlineStr">
        <is>
          <t>Basväg</t>
        </is>
      </c>
      <c r="D618" s="1" t="n">
        <v>44439</v>
      </c>
      <c r="E618" s="1" t="n">
        <v>46257</v>
      </c>
      <c r="F618" t="inlineStr">
        <is>
          <t>BLEKINGE LÄN</t>
        </is>
      </c>
      <c r="G618" t="inlineStr">
        <is>
          <t>RONNEBY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2759-2024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45485</v>
      </c>
      <c r="E619" s="1" t="n">
        <v>46257</v>
      </c>
      <c r="F619" t="inlineStr">
        <is>
          <t>BLEKINGE LÄN</t>
        </is>
      </c>
      <c r="G619" t="inlineStr">
        <is>
          <t>RONNEBY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5159-2024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45646</v>
      </c>
      <c r="E620" s="1" t="n">
        <v>46257</v>
      </c>
      <c r="F620" t="inlineStr">
        <is>
          <t>BLEKINGE LÄN</t>
        </is>
      </c>
      <c r="G620" t="inlineStr">
        <is>
          <t>RONNEBY</t>
        </is>
      </c>
      <c r="I620" t="n">
        <v>75.90000000000001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4617-2024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45602</v>
      </c>
      <c r="E621" s="1" t="n">
        <v>46257</v>
      </c>
      <c r="F621" t="inlineStr">
        <is>
          <t>BLEKINGE LÄN</t>
        </is>
      </c>
      <c r="G621" t="inlineStr">
        <is>
          <t>RONNEBY</t>
        </is>
      </c>
      <c r="I621" t="n">
        <v>65.2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4090-2024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45573</v>
      </c>
      <c r="E622" s="1" t="n">
        <v>46257</v>
      </c>
      <c r="F622" t="inlineStr">
        <is>
          <t>BLEKINGE LÄN</t>
        </is>
      </c>
      <c r="G622" t="inlineStr">
        <is>
          <t>RONNEBY</t>
        </is>
      </c>
      <c r="I622" t="n">
        <v>35.7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45656</v>
      </c>
      <c r="E623" s="1" t="n">
        <v>46257</v>
      </c>
      <c r="F623" t="inlineStr">
        <is>
          <t>BLEKINGE LÄN</t>
        </is>
      </c>
      <c r="G623" t="inlineStr">
        <is>
          <t>RONNEBY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385-2023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44959</v>
      </c>
      <c r="E624" s="1" t="n">
        <v>46257</v>
      </c>
      <c r="F624" t="inlineStr">
        <is>
          <t>BLEKINGE LÄN</t>
        </is>
      </c>
      <c r="G624" t="inlineStr">
        <is>
          <t>RONNEBY</t>
        </is>
      </c>
      <c r="I624" t="n">
        <v>20.4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2196-2024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45457</v>
      </c>
      <c r="E625" s="1" t="n">
        <v>46257</v>
      </c>
      <c r="F625" t="inlineStr">
        <is>
          <t>BLEKINGE LÄN</t>
        </is>
      </c>
      <c r="G625" t="inlineStr">
        <is>
          <t>RONNEBY</t>
        </is>
      </c>
      <c r="I625" t="n">
        <v>19.6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2689-2023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46257</v>
      </c>
      <c r="F626" t="inlineStr">
        <is>
          <t>BLEKINGE LÄN</t>
        </is>
      </c>
      <c r="G626" t="inlineStr">
        <is>
          <t>RONNEBY</t>
        </is>
      </c>
      <c r="I626" t="n">
        <v>17.8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2690-2023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46257</v>
      </c>
      <c r="F627" t="inlineStr">
        <is>
          <t>BLEKINGE LÄN</t>
        </is>
      </c>
      <c r="G627" t="inlineStr">
        <is>
          <t>RONNEBY</t>
        </is>
      </c>
      <c r="I627" t="n">
        <v>17.3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206-2026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46050</v>
      </c>
      <c r="E628" s="1" t="n">
        <v>46257</v>
      </c>
      <c r="F628" t="inlineStr">
        <is>
          <t>BLEKINGE LÄN</t>
        </is>
      </c>
      <c r="G628" t="inlineStr">
        <is>
          <t>RONNEBY</t>
        </is>
      </c>
      <c r="H628" t="inlineStr">
        <is>
          <t>Övriga Aktiebolag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357-2026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46064</v>
      </c>
      <c r="E629" s="1" t="n">
        <v>46257</v>
      </c>
      <c r="F629" t="inlineStr">
        <is>
          <t>BLEKINGE LÄN</t>
        </is>
      </c>
      <c r="G629" t="inlineStr">
        <is>
          <t>RONNEBY</t>
        </is>
      </c>
      <c r="I629" t="n">
        <v>24.3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782-2026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46099</v>
      </c>
      <c r="E630" s="1" t="n">
        <v>46257</v>
      </c>
      <c r="F630" t="inlineStr">
        <is>
          <t>BLEKINGE LÄN</t>
        </is>
      </c>
      <c r="G630" t="inlineStr">
        <is>
          <t>RONNEBY</t>
        </is>
      </c>
      <c r="I630" t="n">
        <v>26.6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2026-08-23T01:49:19Z</dcterms:created>
  <dcterms:modified xmlns:dcterms="http://purl.org/dc/terms/" xmlns:xsi="http://www.w3.org/2001/XMLSchema-instance" xsi:type="dcterms:W3CDTF">2026-08-23T01:49:19Z</dcterms:modified>
</cp:coreProperties>
</file>