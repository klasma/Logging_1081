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45764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45764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45764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45764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45764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45764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45764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HYPERLINK("https://klasma.github.io/Logging_101081/artfynd/A 17339-2025 artfynd.xlsx", "A 17339-2025")</f>
        <v/>
      </c>
      <c r="T8">
        <f>HYPERLINK("https://klasma.github.io/Logging_101081/kartor/A 17339-2025 karta.png", "A 17339-2025")</f>
        <v/>
      </c>
      <c r="V8">
        <f>HYPERLINK("https://klasma.github.io/Logging_101081/klagomål/A 17339-2025 FSC-klagomål.docx", "A 17339-2025")</f>
        <v/>
      </c>
      <c r="W8">
        <f>HYPERLINK("https://klasma.github.io/Logging_101081/klagomålsmail/A 17339-2025 FSC-klagomål mail.docx", "A 17339-2025")</f>
        <v/>
      </c>
      <c r="X8">
        <f>HYPERLINK("https://klasma.github.io/Logging_101081/tillsyn/A 17339-2025 tillsynsbegäran.docx", "A 17339-2025")</f>
        <v/>
      </c>
      <c r="Y8">
        <f>HYPERLINK("https://klasma.github.io/Logging_101081/tillsynsmail/A 17339-2025 tillsynsbegäran mail.docx", "A 17339-2025")</f>
        <v/>
      </c>
    </row>
    <row r="9" ht="15" customHeight="1">
      <c r="A9" t="inlineStr">
        <is>
          <t>A 25939-2019</t>
        </is>
      </c>
      <c r="B9" s="1" t="n">
        <v>43608</v>
      </c>
      <c r="C9" s="1" t="n">
        <v>45764</v>
      </c>
      <c r="D9" t="inlineStr">
        <is>
          <t>BLEKINGE LÄN</t>
        </is>
      </c>
      <c r="E9" t="inlineStr">
        <is>
          <t>RONNEBY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HYPERLINK("https://klasma.github.io/Logging_1081/artfynd/A 25939-2019 artfynd.xlsx", "A 25939-2019")</f>
        <v/>
      </c>
      <c r="T9">
        <f>HYPERLINK("https://klasma.github.io/Logging_1081/kartor/A 25939-2019 karta.png", "A 25939-2019")</f>
        <v/>
      </c>
      <c r="V9">
        <f>HYPERLINK("https://klasma.github.io/Logging_1081/klagomål/A 25939-2019 FSC-klagomål.docx", "A 25939-2019")</f>
        <v/>
      </c>
      <c r="W9">
        <f>HYPERLINK("https://klasma.github.io/Logging_1081/klagomålsmail/A 25939-2019 FSC-klagomål mail.docx", "A 25939-2019")</f>
        <v/>
      </c>
      <c r="X9">
        <f>HYPERLINK("https://klasma.github.io/Logging_1081/tillsyn/A 25939-2019 tillsynsbegäran.docx", "A 25939-2019")</f>
        <v/>
      </c>
      <c r="Y9">
        <f>HYPERLINK("https://klasma.github.io/Logging_1081/tillsynsmail/A 25939-2019 tillsynsbegäran mail.docx", "A 25939-2019")</f>
        <v/>
      </c>
    </row>
    <row r="10" ht="15" customHeight="1">
      <c r="A10" t="inlineStr">
        <is>
          <t>A 28778-2019</t>
        </is>
      </c>
      <c r="B10" s="1" t="n">
        <v>43627</v>
      </c>
      <c r="C10" s="1" t="n">
        <v>45764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HYPERLINK("https://klasma.github.io/Logging_1081/artfynd/A 28778-2019 artfynd.xlsx", "A 28778-2019")</f>
        <v/>
      </c>
      <c r="T10">
        <f>HYPERLINK("https://klasma.github.io/Logging_1081/kartor/A 28778-2019 karta.png", "A 28778-2019")</f>
        <v/>
      </c>
      <c r="V10">
        <f>HYPERLINK("https://klasma.github.io/Logging_1081/klagomål/A 28778-2019 FSC-klagomål.docx", "A 28778-2019")</f>
        <v/>
      </c>
      <c r="W10">
        <f>HYPERLINK("https://klasma.github.io/Logging_1081/klagomålsmail/A 28778-2019 FSC-klagomål mail.docx", "A 28778-2019")</f>
        <v/>
      </c>
      <c r="X10">
        <f>HYPERLINK("https://klasma.github.io/Logging_1081/tillsyn/A 28778-2019 tillsynsbegäran.docx", "A 28778-2019")</f>
        <v/>
      </c>
      <c r="Y10">
        <f>HYPERLINK("https://klasma.github.io/Logging_1081/tillsynsmail/A 28778-2019 tillsynsbegäran mail.docx", "A 28778-2019")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45764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45764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45764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45764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45764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45764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40525-2021</t>
        </is>
      </c>
      <c r="B17" s="1" t="n">
        <v>44420</v>
      </c>
      <c r="C17" s="1" t="n">
        <v>45764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HYPERLINK("https://klasma.github.io/Logging_1081/artfynd/A 40525-2021 artfynd.xlsx", "A 40525-2021")</f>
        <v/>
      </c>
      <c r="T17">
        <f>HYPERLINK("https://klasma.github.io/Logging_1081/kartor/A 40525-2021 karta.png", "A 40525-2021")</f>
        <v/>
      </c>
      <c r="V17">
        <f>HYPERLINK("https://klasma.github.io/Logging_1081/klagomål/A 40525-2021 FSC-klagomål.docx", "A 40525-2021")</f>
        <v/>
      </c>
      <c r="W17">
        <f>HYPERLINK("https://klasma.github.io/Logging_1081/klagomålsmail/A 40525-2021 FSC-klagomål mail.docx", "A 40525-2021")</f>
        <v/>
      </c>
      <c r="X17">
        <f>HYPERLINK("https://klasma.github.io/Logging_1081/tillsyn/A 40525-2021 tillsynsbegäran.docx", "A 40525-2021")</f>
        <v/>
      </c>
      <c r="Y17">
        <f>HYPERLINK("https://klasma.github.io/Logging_1081/tillsynsmail/A 40525-2021 tillsynsbegäran mail.docx", "A 40525-2021")</f>
        <v/>
      </c>
    </row>
    <row r="18" ht="15" customHeight="1">
      <c r="A18" t="inlineStr">
        <is>
          <t>A 41708-2021</t>
        </is>
      </c>
      <c r="B18" s="1" t="n">
        <v>44425</v>
      </c>
      <c r="C18" s="1" t="n">
        <v>45764</v>
      </c>
      <c r="D18" t="inlineStr">
        <is>
          <t>BLEKINGE LÄN</t>
        </is>
      </c>
      <c r="E18" t="inlineStr">
        <is>
          <t>RONNEBY</t>
        </is>
      </c>
      <c r="G18" t="n">
        <v>7.7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Ekticka</t>
        </is>
      </c>
      <c r="S18">
        <f>HYPERLINK("https://klasma.github.io/Logging_1081/artfynd/A 41708-2021 artfynd.xlsx", "A 41708-2021")</f>
        <v/>
      </c>
      <c r="T18">
        <f>HYPERLINK("https://klasma.github.io/Logging_1081/kartor/A 41708-2021 karta.png", "A 41708-2021")</f>
        <v/>
      </c>
      <c r="V18">
        <f>HYPERLINK("https://klasma.github.io/Logging_1081/klagomål/A 41708-2021 FSC-klagomål.docx", "A 41708-2021")</f>
        <v/>
      </c>
      <c r="W18">
        <f>HYPERLINK("https://klasma.github.io/Logging_1081/klagomålsmail/A 41708-2021 FSC-klagomål mail.docx", "A 41708-2021")</f>
        <v/>
      </c>
      <c r="X18">
        <f>HYPERLINK("https://klasma.github.io/Logging_1081/tillsyn/A 41708-2021 tillsynsbegäran.docx", "A 41708-2021")</f>
        <v/>
      </c>
      <c r="Y18">
        <f>HYPERLINK("https://klasma.github.io/Logging_1081/tillsynsmail/A 41708-2021 tillsynsbegäran mail.docx", "A 41708-2021")</f>
        <v/>
      </c>
    </row>
    <row r="19" ht="15" customHeight="1">
      <c r="A19" t="inlineStr">
        <is>
          <t>A 41702-2021</t>
        </is>
      </c>
      <c r="B19" s="1" t="n">
        <v>44425</v>
      </c>
      <c r="C19" s="1" t="n">
        <v>45764</v>
      </c>
      <c r="D19" t="inlineStr">
        <is>
          <t>BLEKINGE LÄN</t>
        </is>
      </c>
      <c r="E19" t="inlineStr">
        <is>
          <t>RONNEBY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HYPERLINK("https://klasma.github.io/Logging_1081/artfynd/A 41702-2021 artfynd.xlsx", "A 41702-2021")</f>
        <v/>
      </c>
      <c r="T19">
        <f>HYPERLINK("https://klasma.github.io/Logging_1081/kartor/A 41702-2021 karta.png", "A 41702-2021")</f>
        <v/>
      </c>
      <c r="V19">
        <f>HYPERLINK("https://klasma.github.io/Logging_1081/klagomål/A 41702-2021 FSC-klagomål.docx", "A 41702-2021")</f>
        <v/>
      </c>
      <c r="W19">
        <f>HYPERLINK("https://klasma.github.io/Logging_1081/klagomålsmail/A 41702-2021 FSC-klagomål mail.docx", "A 41702-2021")</f>
        <v/>
      </c>
      <c r="X19">
        <f>HYPERLINK("https://klasma.github.io/Logging_1081/tillsyn/A 41702-2021 tillsynsbegäran.docx", "A 41702-2021")</f>
        <v/>
      </c>
      <c r="Y19">
        <f>HYPERLINK("https://klasma.github.io/Logging_1081/tillsynsmail/A 41702-2021 tillsynsbegäran mail.docx", "A 41702-2021")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45764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45764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45764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45764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45764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45764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45764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45764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45764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45764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45764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45764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45764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45764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45764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45764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45764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45764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45764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45764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45764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45764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45764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45764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45764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45764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45764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45764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45764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45764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45764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45764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45764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45764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45764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45764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45764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45764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45764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45764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45764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45764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45764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45764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45764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45764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45764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45764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45764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45764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45764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45764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45764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45764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45764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45764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45764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45764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45764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45764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45764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45764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45764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45764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45764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45764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45764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45764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45764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45764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45764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45764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45764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45764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45764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45764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45764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45764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45764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45764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45764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45764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45764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45764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45764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45764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45764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45764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45764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45764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45764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45764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45764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45764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45764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45764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45764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45764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45764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45764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45764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45764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45764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45764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45764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45764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45764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45764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45764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45764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45764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45764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45764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45764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45764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45764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45764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45764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45764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45764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45764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45764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45764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45764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45764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45764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45764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45764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45764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45764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45764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45764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45764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45764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45764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45764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45764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45764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45764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45764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45764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45764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45764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45764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45764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45764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45764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45764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45764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45764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45764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45764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45764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45764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45764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45764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45764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45764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45764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45764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45764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45764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45764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45764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45764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45764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45764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45764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45764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45764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45764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45764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45764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45764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45764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45764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45764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45764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45764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45764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45764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45764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45764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45764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45764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45764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45764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45764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45764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45764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45764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45764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45764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45764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45764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45764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45764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45764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45764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45764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45764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45764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45764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45764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45764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45764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45764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45764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45764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45764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45764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45764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45764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45764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45764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45764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45764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45764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45764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45764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45764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45764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45764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45764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45764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45764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45764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45764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45764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45764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45764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45764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45764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45764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45764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45764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45764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45764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45764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45764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45764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45764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45764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45764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45764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45764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45764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45764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45764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45764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45764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45764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45764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45764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45764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45764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45764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45764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45764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45764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45764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45764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45764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45764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45764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45764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45764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45764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45764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45764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45764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45764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45764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45764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45764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45764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45764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45764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45764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45764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45764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45764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45764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45764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45764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45764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45764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45764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45764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45764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45764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45764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45764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45764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45764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45764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45764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45764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45764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45764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45764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45764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45764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45764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45764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45764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45764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45764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45764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45764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45764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45764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45764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45764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45764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45764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45764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45764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45764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45764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45764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45764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45764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45764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45764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45764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45764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45764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45764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45764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45764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45764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45764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45764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45764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45764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45764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45764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45764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45764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45764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45764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45764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45764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45764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45764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45764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45764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45764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45764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45764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45764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45764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45764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45764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45764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45764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45764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45764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45764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45764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45764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45764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45764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45764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45764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45764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45764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45764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45764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45764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45764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45764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45764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45764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45764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45764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45764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45764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45764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45764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45764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45764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45764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45764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45764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45764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45764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45764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45764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45764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45764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45764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45764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45764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45764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45764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45764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45764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45764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45764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45764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45764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45764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45764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45764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45764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45764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45764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45764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45764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45764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45764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45764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45764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45764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45764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45764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45764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45764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45764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45764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45764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45764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45764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45764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45764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45764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45764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45764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45764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45764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45764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45764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45764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45764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45764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45764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45764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45764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45764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45764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45764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45764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45764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45764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45764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45764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45764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45764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45764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45764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45764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45764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45764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45764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45764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45764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45764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45764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45764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45764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45764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45764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45764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45764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45764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45764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45764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45764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45764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45764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45764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45764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45764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45764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45764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45764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45764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45764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45764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45764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45764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45764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45764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45764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45764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45764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45764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45764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45764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45764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45764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45764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45764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45764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45764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45764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45764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45764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45764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45764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45764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45764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45764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45764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45764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45764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45764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45764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45764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45764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45764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45764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45764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45764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45764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45764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45764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45764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45764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45764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45764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45764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45764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45764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45764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45764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45764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45764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45764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45764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45764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45764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45764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45764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45764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45764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45764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45764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45764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45764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45764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45764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45764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45764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45764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45764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45764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45764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45764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45764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45764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45764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45764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45764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45764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45764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45764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45764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45764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45764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45764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45764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45764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45764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45764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45764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45764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45764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45764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45764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45764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45764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45764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45764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45764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45764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45764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45764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45764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45764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45764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45764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45764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45764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45764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45764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45764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45764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45764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45764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45764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45764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45764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45764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45764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45764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45764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45764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45764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45764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45764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45764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45764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45764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45764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45764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45764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45764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45764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45764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45764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45764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45764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45764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45764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45764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45764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45764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45764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45764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45764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45764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45764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45764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45764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45764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45764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45764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45764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45764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45764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45764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45764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45764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45764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45764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45764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45764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45764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45764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45764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45764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45764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45764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45764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45764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45764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45764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45764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45764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45764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45764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45764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45764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45764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45764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45764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45764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45764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45764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45764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45764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45764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45764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45764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45764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45764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45764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45764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45764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45764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45764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45764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45764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45764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45764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45764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45764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45764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45764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45764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45764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45764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45764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45764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45764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45764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45764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45764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45764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45764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45764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45764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45764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45764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45764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45764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45764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45764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45764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45764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45764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45764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45764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45764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45764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45764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45764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45764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45764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45764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45764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45764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45764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45764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45764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45764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45764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45764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45764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45764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45764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45764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45764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45764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45764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45764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45764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45764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45764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45764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45764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45764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45764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45764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45764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45764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45764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45764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45764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45764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45764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45764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45764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45764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45764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45764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45764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45764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45764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45764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45764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45764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45764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45764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45764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45764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45764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45764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45764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45764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45764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45764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45764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45764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45764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45764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45764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45764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45764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45764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45764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45764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45764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45764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45764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45764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45764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45764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45764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45764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45764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45764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45764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45764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45764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45764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45764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45764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45764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45764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45764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45764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45764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45764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45764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45764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45764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45764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45764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45764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45764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45764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45764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45764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45764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45764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45764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45764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45764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45764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45764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45764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45764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45764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45764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45764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45764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45764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45764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45764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45764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45764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45764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45764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45764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45764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45764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45764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45764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45764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45764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45764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45764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45764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45764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45764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45764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45764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45764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45764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45764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45764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45764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45764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45764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45764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45764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45764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45764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45764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45764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45764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45764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45764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45764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45764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45764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45764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45764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45764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45764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45764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45764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45764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45764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45764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45764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45764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45764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45764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45764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45764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45764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45764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45764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45764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45764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45764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45764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45764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45764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45764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45764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45764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45764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45764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45764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45764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45764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45764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45764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45764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45764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45764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45764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45764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45764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45764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45764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45764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45764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45764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45764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45764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45764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45764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45764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45764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45764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45764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45764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45764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45764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45764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45764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45764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45764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45764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45764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45764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45764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45764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45764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45764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45764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45764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45764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45764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45764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45764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45764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45764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45764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45764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45764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45764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45764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45764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45764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45764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45764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45764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45764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45764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45764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45764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45764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45764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45764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45764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45764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45764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45764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45764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45764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45764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45764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45764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45764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45764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45764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45764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45764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45764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45764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45764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45764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45764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45764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45764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45764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45764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45764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45764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45764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45764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45764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45764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45764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45764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45764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45764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45764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45764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45764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45764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45764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45764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45764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45764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45764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45764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45764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45764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45764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45764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45764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45764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45764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45764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45764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45764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45764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45764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45764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45764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45764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45764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45764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45764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45764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45764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45764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45764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45764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45764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45764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45764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45764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45764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45764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45764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45764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45764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45764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45764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45764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45764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45764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45764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45764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45764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45764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45764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45764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45764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45764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45764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45764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45764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45764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45764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45764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45764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45764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45764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45764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45764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45764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45764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45764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45764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45764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45764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45764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45764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45764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45764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45764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45764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45764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45764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45764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45764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45764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45764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45764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45764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45764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45764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45764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45764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45764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45764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45764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45764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45764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45764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45764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45764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45764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45764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45764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45764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45764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45764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45764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45764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45764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45764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45764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45764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45764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45764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45764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45764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45764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45764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45764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45764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45764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45764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45764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45764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45764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45764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45764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45764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45764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45764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45764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45764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45764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45764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45764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45764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45764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45764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45764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45764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45764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45764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45764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45764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45764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45764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45764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45764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45764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45764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45764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45764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45764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45764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45764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45764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45764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45764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45764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45764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45764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45764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45764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45764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45764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45764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45764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45764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45764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45764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45764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45764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45764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45764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45764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45764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45764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45764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45764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45764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45764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45764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45764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45764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45764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45764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45764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45764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45764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45764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45764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45764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45764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45764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45764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45764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45764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45764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45764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45764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45764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45764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45764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45764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45764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45764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45764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45764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45764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45764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45764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45764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45764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45764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45764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45764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45764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45764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45764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45764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45764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45764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45764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45764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45764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45764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45764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45764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14897-2025</t>
        </is>
      </c>
      <c r="B1231" s="1" t="n">
        <v>45743</v>
      </c>
      <c r="C1231" s="1" t="n">
        <v>45764</v>
      </c>
      <c r="D1231" t="inlineStr">
        <is>
          <t>BLEKINGE LÄN</t>
        </is>
      </c>
      <c r="E1231" t="inlineStr">
        <is>
          <t>RONNEBY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45764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45764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45764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45764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45764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45764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45764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45764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45764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17552-2025</t>
        </is>
      </c>
      <c r="B1241" s="1" t="n">
        <v>45757</v>
      </c>
      <c r="C1241" s="1" t="n">
        <v>45764</v>
      </c>
      <c r="D1241" t="inlineStr">
        <is>
          <t>BLEKINGE LÄN</t>
        </is>
      </c>
      <c r="E1241" t="inlineStr">
        <is>
          <t>RONNEBY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45764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45764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17509-2025</t>
        </is>
      </c>
      <c r="B1244" s="1" t="n">
        <v>45757</v>
      </c>
      <c r="C1244" s="1" t="n">
        <v>45764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2025-04-17T16:46:18Z</dcterms:created>
  <dcterms:modified xmlns:dcterms="http://purl.org/dc/terms/" xmlns:xsi="http://www.w3.org/2001/XMLSchema-instance" xsi:type="dcterms:W3CDTF">2025-04-17T16:46:19Z</dcterms:modified>
</cp:coreProperties>
</file>