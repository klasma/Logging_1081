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46322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46322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46322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46322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A 44537-2026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46321</v>
      </c>
      <c r="E6" s="1" t="n">
        <v>46322</v>
      </c>
      <c r="F6" t="inlineStr">
        <is>
          <t>BLEKINGE LÄN</t>
        </is>
      </c>
      <c r="G6" t="inlineStr">
        <is>
          <t>RONNEBY</t>
        </is>
      </c>
      <c r="H6" t="inlineStr">
        <is>
          <t>Övriga Aktiebolag</t>
        </is>
      </c>
      <c r="I6" t="n">
        <v>1.4</v>
      </c>
      <c r="J6" t="n">
        <v>0</v>
      </c>
      <c r="K6" t="n">
        <v>2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Rosa lundlav
Bokkantlav
Bokvårtlav
Lunglav
Guldlockmossa
Platt fjädermossa</t>
        </is>
      </c>
      <c r="W6">
        <f>HYPERLINK("https://klasma.github.io/Logging_1081/artfynd/A 44537-2026 artfynd.xlsx", "A 44537-2026")</f>
        <v/>
      </c>
      <c r="X6">
        <f>HYPERLINK("https://klasma.github.io/Logging_1081/kartor/A 44537-2026 karta.png", "A 44537-2026")</f>
        <v/>
      </c>
      <c r="Y6">
        <f>HYPERLINK("https://klasma.github.io/Logging_1081/kartor_geotiff/A 44537-2026 georefererad karta.tif", "A 44537-2026")</f>
        <v/>
      </c>
      <c r="AA6">
        <f>HYPERLINK("https://klasma.github.io/Logging_1081/klagomål/A 44537-2026 FSC-klagomål.docx", "A 44537-2026")</f>
        <v/>
      </c>
      <c r="AB6">
        <f>HYPERLINK("https://klasma.github.io/Logging_1081/klagomålsmail/A 44537-2026 FSC-klagomål mail.docx", "A 44537-2026")</f>
        <v/>
      </c>
      <c r="AC6">
        <f>HYPERLINK("https://klasma.github.io/Logging_1081/tillsyn/A 44537-2026 tillsynsbegäran.docx", "A 44537-2026")</f>
        <v/>
      </c>
      <c r="AD6">
        <f>HYPERLINK("https://klasma.github.io/Logging_1081/tillsynsmail/A 44537-2026 tillsynsbegäran mail.docx", "A 44537-2026")</f>
        <v/>
      </c>
    </row>
    <row r="7" ht="15" customHeight="1">
      <c r="A7" t="inlineStr">
        <is>
          <t>S 85-2023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44931</v>
      </c>
      <c r="E7" s="1" t="n">
        <v>46322</v>
      </c>
      <c r="F7" t="inlineStr">
        <is>
          <t>BLEKINGE LÄN</t>
        </is>
      </c>
      <c r="G7" t="inlineStr">
        <is>
          <t>RONNEBY</t>
        </is>
      </c>
      <c r="I7" t="n">
        <v>11.9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85-2023 artfynd.xlsx", "S 85-2023")</f>
        <v/>
      </c>
      <c r="X7">
        <f>HYPERLINK("https://klasma.github.io/Logging_1081/kartor/S 85-2023 karta.png", "S 85-2023")</f>
        <v/>
      </c>
      <c r="Y7">
        <f>HYPERLINK("https://klasma.github.io/Logging_1081/kartor_geotiff/S 85-2023 georefererad karta.tif", "S 85-2023")</f>
        <v/>
      </c>
      <c r="AA7">
        <f>HYPERLINK("https://klasma.github.io/Logging_1081/klagomål/S 85-2023 FSC-klagomål.docx", "S 85-2023")</f>
        <v/>
      </c>
      <c r="AB7">
        <f>HYPERLINK("https://klasma.github.io/Logging_1081/klagomålsmail/S 85-2023 FSC-klagomål mail.docx", "S 85-2023")</f>
        <v/>
      </c>
      <c r="AC7">
        <f>HYPERLINK("https://klasma.github.io/Logging_1081/tillsyn/S 85-2023 tillsynsbegäran.docx", "S 85-2023")</f>
        <v/>
      </c>
      <c r="AD7">
        <f>HYPERLINK("https://klasma.github.io/Logging_1081/tillsynsmail/S 85-2023 tillsynsbegäran mail.docx", "S 85-2023")</f>
        <v/>
      </c>
    </row>
    <row r="8" ht="15" customHeight="1">
      <c r="A8" t="inlineStr">
        <is>
          <t>S 2678-2023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45153</v>
      </c>
      <c r="E8" s="1" t="n">
        <v>46322</v>
      </c>
      <c r="F8" t="inlineStr">
        <is>
          <t>BLEKINGE LÄN</t>
        </is>
      </c>
      <c r="G8" t="inlineStr">
        <is>
          <t>RONNEBY</t>
        </is>
      </c>
      <c r="I8" t="n">
        <v>12.1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13</v>
      </c>
      <c r="U8" t="n">
        <v>0</v>
      </c>
      <c r="V8" s="2" t="inlineStr">
        <is>
          <t>Grönhjon
Liten sönderfallslav
Fällmossa
Murgröna
Rostfläck
Västlig hakmossa</t>
        </is>
      </c>
      <c r="W8">
        <f>HYPERLINK("https://klasma.github.io/Logging_1081/artfynd/S 2678-2023 artfynd.xlsx", "S 2678-2023")</f>
        <v/>
      </c>
      <c r="X8">
        <f>HYPERLINK("https://klasma.github.io/Logging_1081/kartor/S 2678-2023 karta.png", "S 2678-2023")</f>
        <v/>
      </c>
      <c r="Y8">
        <f>HYPERLINK("https://klasma.github.io/Logging_1081/kartor_geotiff/S 2678-2023 georefererad karta.tif", "S 2678-2023")</f>
        <v/>
      </c>
      <c r="AA8">
        <f>HYPERLINK("https://klasma.github.io/Logging_1081/klagomål/S 2678-2023 FSC-klagomål.docx", "S 2678-2023")</f>
        <v/>
      </c>
      <c r="AB8">
        <f>HYPERLINK("https://klasma.github.io/Logging_1081/klagomålsmail/S 2678-2023 FSC-klagomål mail.docx", "S 2678-2023")</f>
        <v/>
      </c>
      <c r="AC8">
        <f>HYPERLINK("https://klasma.github.io/Logging_1081/tillsyn/S 2678-2023 tillsynsbegäran.docx", "S 2678-2023")</f>
        <v/>
      </c>
      <c r="AD8">
        <f>HYPERLINK("https://klasma.github.io/Logging_1081/tillsynsmail/S 2678-2023 tillsynsbegäran mail.docx", "S 2678-2023")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46322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45471</v>
      </c>
      <c r="E10" s="1" t="n">
        <v>46322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2.8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29</v>
      </c>
      <c r="U10" t="n">
        <v>15</v>
      </c>
      <c r="V10" s="2" t="inlineStr">
        <is>
          <t>Bokkantlav
Bokvårtlav
Fällmossa
Havstulpanlav
Platt fjädermossa</t>
        </is>
      </c>
      <c r="W10">
        <f>HYPERLINK("https://klasma.github.io/Logging_1081/artfynd/A 27128-2024 artfynd.xlsx", "A 27128-2024")</f>
        <v/>
      </c>
      <c r="X10">
        <f>HYPERLINK("https://klasma.github.io/Logging_1081/kartor/A 27128-2024 karta.png", "A 27128-2024")</f>
        <v/>
      </c>
      <c r="Y10">
        <f>HYPERLINK("https://klasma.github.io/Logging_1081/kartor_geotiff/A 27128-2024 georefererad karta.tif", "A 27128-2024")</f>
        <v/>
      </c>
      <c r="AA10">
        <f>HYPERLINK("https://klasma.github.io/Logging_1081/klagomål/A 27128-2024 FSC-klagomål.docx", "A 27128-2024")</f>
        <v/>
      </c>
      <c r="AB10">
        <f>HYPERLINK("https://klasma.github.io/Logging_1081/klagomålsmail/A 27128-2024 FSC-klagomål mail.docx", "A 27128-2024")</f>
        <v/>
      </c>
      <c r="AC10">
        <f>HYPERLINK("https://klasma.github.io/Logging_1081/tillsyn/A 27128-2024 tillsynsbegäran.docx", "A 27128-2024")</f>
        <v/>
      </c>
      <c r="AD10">
        <f>HYPERLINK("https://klasma.github.io/Logging_1081/tillsynsmail/A 27128-2024 tillsynsbegäran mail.docx", "A 27128-2024")</f>
        <v/>
      </c>
    </row>
    <row r="11" ht="15" customHeight="1">
      <c r="A11" t="inlineStr">
        <is>
          <t>A 28588-2023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45103</v>
      </c>
      <c r="E11" s="1" t="n">
        <v>46322</v>
      </c>
      <c r="F11" t="inlineStr">
        <is>
          <t>BLEKINGE LÄN</t>
        </is>
      </c>
      <c r="G11" t="inlineStr">
        <is>
          <t>RONNEBY</t>
        </is>
      </c>
      <c r="H11" t="inlineStr">
        <is>
          <t>Kommuner</t>
        </is>
      </c>
      <c r="I11" t="n">
        <v>2.3</v>
      </c>
      <c r="J11" t="n">
        <v>0</v>
      </c>
      <c r="K11" t="n">
        <v>4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Rosa lundlav
Ekskinn
Fällmossa
Guldlockmossa
Lönnlav</t>
        </is>
      </c>
      <c r="W11">
        <f>HYPERLINK("https://klasma.github.io/Logging_1081/artfynd/A 28588-2023 artfynd.xlsx", "A 28588-2023")</f>
        <v/>
      </c>
      <c r="X11">
        <f>HYPERLINK("https://klasma.github.io/Logging_1081/kartor/A 28588-2023 karta.png", "A 28588-2023")</f>
        <v/>
      </c>
      <c r="Y11">
        <f>HYPERLINK("https://klasma.github.io/Logging_1081/kartor_geotiff/A 28588-2023 georefererad karta.tif", "A 28588-2023")</f>
        <v/>
      </c>
      <c r="AA11">
        <f>HYPERLINK("https://klasma.github.io/Logging_1081/klagomål/A 28588-2023 FSC-klagomål.docx", "A 28588-2023")</f>
        <v/>
      </c>
      <c r="AB11">
        <f>HYPERLINK("https://klasma.github.io/Logging_1081/klagomålsmail/A 28588-2023 FSC-klagomål mail.docx", "A 28588-2023")</f>
        <v/>
      </c>
      <c r="AC11">
        <f>HYPERLINK("https://klasma.github.io/Logging_1081/tillsyn/A 28588-2023 tillsynsbegäran.docx", "A 28588-2023")</f>
        <v/>
      </c>
      <c r="AD11">
        <f>HYPERLINK("https://klasma.github.io/Logging_1081/tillsynsmail/A 28588-2023 tillsynsbegäran mail.docx", "A 28588-2023")</f>
        <v/>
      </c>
    </row>
    <row r="12" ht="15" customHeight="1">
      <c r="A12" t="inlineStr">
        <is>
          <t>S 1357-2022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44630</v>
      </c>
      <c r="E12" s="1" t="n">
        <v>46322</v>
      </c>
      <c r="F12" t="inlineStr">
        <is>
          <t>BLEKINGE LÄN</t>
        </is>
      </c>
      <c r="G12" t="inlineStr">
        <is>
          <t>RONNEBY</t>
        </is>
      </c>
      <c r="I12" t="n">
        <v>0.5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2</v>
      </c>
      <c r="V12" s="2" t="inlineStr">
        <is>
          <t>Dunmossa
Blåsfliksmossa
Västlig hakmossa
Blåsippa
Utter</t>
        </is>
      </c>
      <c r="W12">
        <f>HYPERLINK("https://klasma.github.io/Logging_1081/artfynd/S 1357-2022 artfynd.xlsx", "S 1357-2022")</f>
        <v/>
      </c>
      <c r="X12">
        <f>HYPERLINK("https://klasma.github.io/Logging_1081/kartor/S 1357-2022 karta.png", "S 1357-2022")</f>
        <v/>
      </c>
      <c r="Y12">
        <f>HYPERLINK("https://klasma.github.io/Logging_1081/kartor_geotiff/S 1357-2022 georefererad karta.tif", "S 1357-2022")</f>
        <v/>
      </c>
      <c r="AA12">
        <f>HYPERLINK("https://klasma.github.io/Logging_1081/klagomål/S 1357-2022 FSC-klagomål.docx", "S 1357-2022")</f>
        <v/>
      </c>
      <c r="AB12">
        <f>HYPERLINK("https://klasma.github.io/Logging_1081/klagomålsmail/S 1357-2022 FSC-klagomål mail.docx", "S 1357-2022")</f>
        <v/>
      </c>
      <c r="AC12">
        <f>HYPERLINK("https://klasma.github.io/Logging_1081/tillsyn/S 1357-2022 tillsynsbegäran.docx", "S 1357-2022")</f>
        <v/>
      </c>
      <c r="AD12">
        <f>HYPERLINK("https://klasma.github.io/Logging_1081/tillsynsmail/S 1357-2022 tillsynsbegäran mail.docx", "S 1357-2022")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46322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30508-2022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46322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6.7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5</v>
      </c>
      <c r="U14" t="n">
        <v>0</v>
      </c>
      <c r="V14" s="2" t="inlineStr">
        <is>
          <t>Puderfläck
Fällmossa
Rostfläck
Blåsippa</t>
        </is>
      </c>
      <c r="W14">
        <f>HYPERLINK("https://klasma.github.io/Logging_1081/artfynd/A 30508-2022 artfynd.xlsx", "A 30508-2022")</f>
        <v/>
      </c>
      <c r="X14">
        <f>HYPERLINK("https://klasma.github.io/Logging_1081/kartor/A 30508-2022 karta.png", "A 30508-2022")</f>
        <v/>
      </c>
      <c r="Y14">
        <f>HYPERLINK("https://klasma.github.io/Logging_1081/kartor_geotiff/A 30508-2022 georefererad karta.tif", "A 30508-2022")</f>
        <v/>
      </c>
      <c r="AA14">
        <f>HYPERLINK("https://klasma.github.io/Logging_1081/klagomål/A 30508-2022 FSC-klagomål.docx", "A 30508-2022")</f>
        <v/>
      </c>
      <c r="AB14">
        <f>HYPERLINK("https://klasma.github.io/Logging_1081/klagomålsmail/A 30508-2022 FSC-klagomål mail.docx", "A 30508-2022")</f>
        <v/>
      </c>
      <c r="AC14">
        <f>HYPERLINK("https://klasma.github.io/Logging_1081/tillsyn/A 30508-2022 tillsynsbegäran.docx", "A 30508-2022")</f>
        <v/>
      </c>
      <c r="AD14">
        <f>HYPERLINK("https://klasma.github.io/Logging_1081/tillsynsmail/A 30508-2022 tillsynsbegäran mail.docx", "A 30508-2022")</f>
        <v/>
      </c>
    </row>
    <row r="15" ht="15" customHeight="1">
      <c r="A15" t="inlineStr">
        <is>
          <t>A 44075-2026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46317</v>
      </c>
      <c r="E15" s="1" t="n">
        <v>46322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5.7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8</v>
      </c>
      <c r="U15" t="n">
        <v>0</v>
      </c>
      <c r="V15" s="2" t="inlineStr">
        <is>
          <t>Puderfläck
Fällmossa
Rostfläck
Blåsippa</t>
        </is>
      </c>
      <c r="W15">
        <f>HYPERLINK("https://klasma.github.io/Logging_1081/artfynd/A 44075-2026 artfynd.xlsx", "A 44075-2026")</f>
        <v/>
      </c>
      <c r="X15">
        <f>HYPERLINK("https://klasma.github.io/Logging_1081/kartor/A 44075-2026 karta.png", "A 44075-2026")</f>
        <v/>
      </c>
      <c r="Y15">
        <f>HYPERLINK("https://klasma.github.io/Logging_1081/kartor_geotiff/A 44075-2026 georefererad karta.tif", "A 44075-2026")</f>
        <v/>
      </c>
      <c r="AA15">
        <f>HYPERLINK("https://klasma.github.io/Logging_1081/klagomål/A 44075-2026 FSC-klagomål.docx", "A 44075-2026")</f>
        <v/>
      </c>
      <c r="AB15">
        <f>HYPERLINK("https://klasma.github.io/Logging_1081/klagomålsmail/A 44075-2026 FSC-klagomål mail.docx", "A 44075-2026")</f>
        <v/>
      </c>
      <c r="AC15">
        <f>HYPERLINK("https://klasma.github.io/Logging_1081/tillsyn/A 44075-2026 tillsynsbegäran.docx", "A 44075-2026")</f>
        <v/>
      </c>
      <c r="AD15">
        <f>HYPERLINK("https://klasma.github.io/Logging_1081/tillsynsmail/A 44075-2026 tillsynsbegäran mail.docx", "A 44075-2026")</f>
        <v/>
      </c>
    </row>
    <row r="16" ht="15" customHeight="1">
      <c r="A16" t="inlineStr">
        <is>
          <t>A 13468-2022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46322</v>
      </c>
      <c r="F16" t="inlineStr">
        <is>
          <t>BLEKINGE LÄN</t>
        </is>
      </c>
      <c r="G16" t="inlineStr">
        <is>
          <t>RONNEBY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Krushättemossa
Liljekonvalj
Skogsstjärna</t>
        </is>
      </c>
      <c r="W16">
        <f>HYPERLINK("https://klasma.github.io/Logging_1081/artfynd/A 13468-2022 artfynd.xlsx", "A 13468-2022")</f>
        <v/>
      </c>
      <c r="X16">
        <f>HYPERLINK("https://klasma.github.io/Logging_1081/kartor/A 13468-2022 karta.png", "A 13468-2022")</f>
        <v/>
      </c>
      <c r="Y16">
        <f>HYPERLINK("https://klasma.github.io/Logging_1081/kartor_geotiff/A 13468-2022 georefererad karta.tif", "A 13468-2022")</f>
        <v/>
      </c>
      <c r="AA16">
        <f>HYPERLINK("https://klasma.github.io/Logging_1081/klagomål/A 13468-2022 FSC-klagomål.docx", "A 13468-2022")</f>
        <v/>
      </c>
      <c r="AB16">
        <f>HYPERLINK("https://klasma.github.io/Logging_1081/klagomålsmail/A 13468-2022 FSC-klagomål mail.docx", "A 13468-2022")</f>
        <v/>
      </c>
      <c r="AC16">
        <f>HYPERLINK("https://klasma.github.io/Logging_1081/tillsyn/A 13468-2022 tillsynsbegäran.docx", "A 13468-2022")</f>
        <v/>
      </c>
      <c r="AD16">
        <f>HYPERLINK("https://klasma.github.io/Logging_1081/tillsynsmail/A 13468-2022 tillsynsbegäran mail.docx", "A 13468-2022")</f>
        <v/>
      </c>
    </row>
    <row r="17" ht="15" customHeight="1">
      <c r="A17" t="inlineStr">
        <is>
          <t>A 30531-2022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44762</v>
      </c>
      <c r="E17" s="1" t="n">
        <v>46322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Puderfläck
Rostfläck
Blåsippa</t>
        </is>
      </c>
      <c r="W17">
        <f>HYPERLINK("https://klasma.github.io/Logging_1081/artfynd/A 30531-2022 artfynd.xlsx", "A 30531-2022")</f>
        <v/>
      </c>
      <c r="X17">
        <f>HYPERLINK("https://klasma.github.io/Logging_1081/kartor/A 30531-2022 karta.png", "A 30531-2022")</f>
        <v/>
      </c>
      <c r="Y17">
        <f>HYPERLINK("https://klasma.github.io/Logging_1081/kartor_geotiff/A 30531-2022 georefererad karta.tif", "A 30531-2022")</f>
        <v/>
      </c>
      <c r="AA17">
        <f>HYPERLINK("https://klasma.github.io/Logging_1081/klagomål/A 30531-2022 FSC-klagomål.docx", "A 30531-2022")</f>
        <v/>
      </c>
      <c r="AB17">
        <f>HYPERLINK("https://klasma.github.io/Logging_1081/klagomålsmail/A 30531-2022 FSC-klagomål mail.docx", "A 30531-2022")</f>
        <v/>
      </c>
      <c r="AC17">
        <f>HYPERLINK("https://klasma.github.io/Logging_1081/tillsyn/A 30531-2022 tillsynsbegäran.docx", "A 30531-2022")</f>
        <v/>
      </c>
      <c r="AD17">
        <f>HYPERLINK("https://klasma.github.io/Logging_1081/tillsynsmail/A 30531-2022 tillsynsbegäran mail.docx", "A 30531-2022")</f>
        <v/>
      </c>
    </row>
    <row r="18" ht="15" customHeight="1">
      <c r="A18" t="inlineStr">
        <is>
          <t>A 9449-2026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46071</v>
      </c>
      <c r="E18" s="1" t="n">
        <v>46322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7.3</v>
      </c>
      <c r="J18" t="n">
        <v>0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4</v>
      </c>
      <c r="U18" t="n">
        <v>0</v>
      </c>
      <c r="V18" s="2" t="inlineStr">
        <is>
          <t>Ask
Blåmossa
Grå skärelav</t>
        </is>
      </c>
      <c r="W18">
        <f>HYPERLINK("https://klasma.github.io/Logging_1081/artfynd/A 9449-2026 artfynd.xlsx", "A 9449-2026")</f>
        <v/>
      </c>
      <c r="X18">
        <f>HYPERLINK("https://klasma.github.io/Logging_1081/kartor/A 9449-2026 karta.png", "A 9449-2026")</f>
        <v/>
      </c>
      <c r="Y18">
        <f>HYPERLINK("https://klasma.github.io/Logging_1081/kartor_geotiff/A 9449-2026 georefererad karta.tif", "A 9449-2026")</f>
        <v/>
      </c>
      <c r="AA18">
        <f>HYPERLINK("https://klasma.github.io/Logging_1081/klagomål/A 9449-2026 FSC-klagomål.docx", "A 9449-2026")</f>
        <v/>
      </c>
      <c r="AB18">
        <f>HYPERLINK("https://klasma.github.io/Logging_1081/klagomålsmail/A 9449-2026 FSC-klagomål mail.docx", "A 9449-2026")</f>
        <v/>
      </c>
      <c r="AC18">
        <f>HYPERLINK("https://klasma.github.io/Logging_1081/tillsyn/A 9449-2026 tillsynsbegäran.docx", "A 9449-2026")</f>
        <v/>
      </c>
      <c r="AD18">
        <f>HYPERLINK("https://klasma.github.io/Logging_1081/tillsynsmail/A 9449-2026 tillsynsbegäran mail.docx", "A 9449-2026")</f>
        <v/>
      </c>
    </row>
    <row r="19" ht="15" customHeight="1">
      <c r="A19" t="inlineStr">
        <is>
          <t>A 55925-2025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45973</v>
      </c>
      <c r="E19" s="1" t="n">
        <v>46322</v>
      </c>
      <c r="F19" t="inlineStr">
        <is>
          <t>BLEKINGE LÄN</t>
        </is>
      </c>
      <c r="G19" t="inlineStr">
        <is>
          <t>RONNEBY</t>
        </is>
      </c>
      <c r="I19" t="n">
        <v>6.4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18</v>
      </c>
      <c r="U19" t="n">
        <v>2</v>
      </c>
      <c r="V19" s="2" t="inlineStr">
        <is>
          <t>Ask
Flikros
Ekoxe</t>
        </is>
      </c>
      <c r="W19">
        <f>HYPERLINK("https://klasma.github.io/Logging_1081/artfynd/A 55925-2025 artfynd.xlsx", "A 55925-2025")</f>
        <v/>
      </c>
      <c r="X19">
        <f>HYPERLINK("https://klasma.github.io/Logging_1081/kartor/A 55925-2025 karta.png", "A 55925-2025")</f>
        <v/>
      </c>
      <c r="Y19">
        <f>HYPERLINK("https://klasma.github.io/Logging_1081/kartor_geotiff/A 55925-2025 georefererad karta.tif", "A 55925-2025")</f>
        <v/>
      </c>
      <c r="AA19">
        <f>HYPERLINK("https://klasma.github.io/Logging_1081/klagomål/A 55925-2025 FSC-klagomål.docx", "A 55925-2025")</f>
        <v/>
      </c>
      <c r="AB19">
        <f>HYPERLINK("https://klasma.github.io/Logging_1081/klagomålsmail/A 55925-2025 FSC-klagomål mail.docx", "A 55925-2025")</f>
        <v/>
      </c>
      <c r="AC19">
        <f>HYPERLINK("https://klasma.github.io/Logging_1081/tillsyn/A 55925-2025 tillsynsbegäran.docx", "A 55925-2025")</f>
        <v/>
      </c>
      <c r="AD19">
        <f>HYPERLINK("https://klasma.github.io/Logging_1081/tillsynsmail/A 55925-2025 tillsynsbegäran mail.docx", "A 55925-2025")</f>
        <v/>
      </c>
    </row>
    <row r="20" ht="15" customHeight="1">
      <c r="A20" t="inlineStr">
        <is>
          <t>A 34168-2026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46322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2.8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Blåmossa
Grovticka</t>
        </is>
      </c>
      <c r="W20">
        <f>HYPERLINK("https://klasma.github.io/Logging_1081/artfynd/A 34168-2026 artfynd.xlsx", "A 34168-2026")</f>
        <v/>
      </c>
      <c r="X20">
        <f>HYPERLINK("https://klasma.github.io/Logging_1081/kartor/A 34168-2026 karta.png", "A 34168-2026")</f>
        <v/>
      </c>
      <c r="Y20">
        <f>HYPERLINK("https://klasma.github.io/Logging_1081/kartor_geotiff/A 34168-2026 georefererad karta.tif", "A 34168-2026")</f>
        <v/>
      </c>
      <c r="AA20">
        <f>HYPERLINK("https://klasma.github.io/Logging_1081/klagomål/A 34168-2026 FSC-klagomål.docx", "A 34168-2026")</f>
        <v/>
      </c>
      <c r="AB20">
        <f>HYPERLINK("https://klasma.github.io/Logging_1081/klagomålsmail/A 34168-2026 FSC-klagomål mail.docx", "A 34168-2026")</f>
        <v/>
      </c>
      <c r="AC20">
        <f>HYPERLINK("https://klasma.github.io/Logging_1081/tillsyn/A 34168-2026 tillsynsbegäran.docx", "A 34168-2026")</f>
        <v/>
      </c>
      <c r="AD20">
        <f>HYPERLINK("https://klasma.github.io/Logging_1081/tillsynsmail/A 34168-2026 tillsynsbegäran mail.docx", "A 34168-2026")</f>
        <v/>
      </c>
      <c r="AE20">
        <f>HYPERLINK("https://klasma.github.io/Logging_1081/fåglar/A 34168-2026 prioriterade fågelarter.docx", "A 34168-2026")</f>
        <v/>
      </c>
    </row>
    <row r="21" ht="15" customHeight="1">
      <c r="A21" t="inlineStr">
        <is>
          <t>S 3881-2023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45230</v>
      </c>
      <c r="E21" s="1" t="n">
        <v>46322</v>
      </c>
      <c r="F21" t="inlineStr">
        <is>
          <t>BLEKINGE LÄN</t>
        </is>
      </c>
      <c r="G21" t="inlineStr">
        <is>
          <t>RONNEBY</t>
        </is>
      </c>
      <c r="I21" t="n">
        <v>10.9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Lunglav
Stiftklotterlav
Guldlockmossa</t>
        </is>
      </c>
      <c r="W21">
        <f>HYPERLINK("https://klasma.github.io/Logging_1081/artfynd/S 3881-2023 artfynd.xlsx", "S 3881-2023")</f>
        <v/>
      </c>
      <c r="X21">
        <f>HYPERLINK("https://klasma.github.io/Logging_1081/kartor/S 3881-2023 karta.png", "S 3881-2023")</f>
        <v/>
      </c>
      <c r="Y21">
        <f>HYPERLINK("https://klasma.github.io/Logging_1081/kartor_geotiff/S 3881-2023 georefererad karta.tif", "S 3881-2023")</f>
        <v/>
      </c>
      <c r="AA21">
        <f>HYPERLINK("https://klasma.github.io/Logging_1081/klagomål/S 3881-2023 FSC-klagomål.docx", "S 3881-2023")</f>
        <v/>
      </c>
      <c r="AB21">
        <f>HYPERLINK("https://klasma.github.io/Logging_1081/klagomålsmail/S 3881-2023 FSC-klagomål mail.docx", "S 3881-2023")</f>
        <v/>
      </c>
      <c r="AC21">
        <f>HYPERLINK("https://klasma.github.io/Logging_1081/tillsyn/S 3881-2023 tillsynsbegäran.docx", "S 3881-2023")</f>
        <v/>
      </c>
      <c r="AD21">
        <f>HYPERLINK("https://klasma.github.io/Logging_1081/tillsynsmail/S 3881-2023 tillsynsbegäran mail.docx", "S 3881-2023")</f>
        <v/>
      </c>
    </row>
    <row r="22" ht="15" customHeight="1">
      <c r="A22" t="inlineStr">
        <is>
          <t>S 2121-2022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44676</v>
      </c>
      <c r="E22" s="1" t="n">
        <v>46322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220.6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Korskovall
Svart skogssnigel
Tibast</t>
        </is>
      </c>
      <c r="W22">
        <f>HYPERLINK("https://klasma.github.io/Logging_1081/artfynd/S 2121-2022 artfynd.xlsx", "S 2121-2022")</f>
        <v/>
      </c>
      <c r="X22">
        <f>HYPERLINK("https://klasma.github.io/Logging_1081/kartor/S 2121-2022 karta.png", "S 2121-2022")</f>
        <v/>
      </c>
      <c r="Y22">
        <f>HYPERLINK("https://klasma.github.io/Logging_1081/kartor_geotiff/S 2121-2022 georefererad karta.tif", "S 2121-2022")</f>
        <v/>
      </c>
      <c r="AA22">
        <f>HYPERLINK("https://klasma.github.io/Logging_1081/klagomål/S 2121-2022 FSC-klagomål.docx", "S 2121-2022")</f>
        <v/>
      </c>
      <c r="AB22">
        <f>HYPERLINK("https://klasma.github.io/Logging_1081/klagomålsmail/S 2121-2022 FSC-klagomål mail.docx", "S 2121-2022")</f>
        <v/>
      </c>
      <c r="AC22">
        <f>HYPERLINK("https://klasma.github.io/Logging_1081/tillsyn/S 2121-2022 tillsynsbegäran.docx", "S 2121-2022")</f>
        <v/>
      </c>
      <c r="AD22">
        <f>HYPERLINK("https://klasma.github.io/Logging_1081/tillsynsmail/S 2121-2022 tillsynsbegäran mail.docx", "S 2121-2022")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46322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46322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46322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46322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14625-2022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46322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7.3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Havstulpanlav
Klippfrullania</t>
        </is>
      </c>
      <c r="W27">
        <f>HYPERLINK("https://klasma.github.io/Logging_1081/artfynd/A 14625-2022 artfynd.xlsx", "A 14625-2022")</f>
        <v/>
      </c>
      <c r="X27">
        <f>HYPERLINK("https://klasma.github.io/Logging_1081/kartor/A 14625-2022 karta.png", "A 14625-2022")</f>
        <v/>
      </c>
      <c r="Y27">
        <f>HYPERLINK("https://klasma.github.io/Logging_1081/kartor_geotiff/A 14625-2022 georefererad karta.tif", "A 14625-2022")</f>
        <v/>
      </c>
      <c r="AA27">
        <f>HYPERLINK("https://klasma.github.io/Logging_1081/klagomål/A 14625-2022 FSC-klagomål.docx", "A 14625-2022")</f>
        <v/>
      </c>
      <c r="AB27">
        <f>HYPERLINK("https://klasma.github.io/Logging_1081/klagomålsmail/A 14625-2022 FSC-klagomål mail.docx", "A 14625-2022")</f>
        <v/>
      </c>
      <c r="AC27">
        <f>HYPERLINK("https://klasma.github.io/Logging_1081/tillsyn/A 14625-2022 tillsynsbegäran.docx", "A 14625-2022")</f>
        <v/>
      </c>
      <c r="AD27">
        <f>HYPERLINK("https://klasma.github.io/Logging_1081/tillsynsmail/A 14625-2022 tillsynsbegäran mail.docx", "A 14625-2022")</f>
        <v/>
      </c>
    </row>
    <row r="28" ht="15" customHeight="1">
      <c r="A28" t="inlineStr">
        <is>
          <t>A 47800-2024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45588</v>
      </c>
      <c r="E28" s="1" t="n">
        <v>46322</v>
      </c>
      <c r="F28" t="inlineStr">
        <is>
          <t>BLEKINGE LÄN</t>
        </is>
      </c>
      <c r="G28" t="inlineStr">
        <is>
          <t>RONNEBY</t>
        </is>
      </c>
      <c r="H28" t="inlineStr">
        <is>
          <t>Kommuner</t>
        </is>
      </c>
      <c r="I28" t="n">
        <v>5.8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Grå taggsvamp
Tjockfotad fingersvamp</t>
        </is>
      </c>
      <c r="W28">
        <f>HYPERLINK("https://klasma.github.io/Logging_1081/artfynd/A 47800-2024 artfynd.xlsx", "A 47800-2024")</f>
        <v/>
      </c>
      <c r="X28">
        <f>HYPERLINK("https://klasma.github.io/Logging_1081/kartor/A 47800-2024 karta.png", "A 47800-2024")</f>
        <v/>
      </c>
      <c r="Y28">
        <f>HYPERLINK("https://klasma.github.io/Logging_1081/kartor_geotiff/A 47800-2024 georefererad karta.tif", "A 47800-2024")</f>
        <v/>
      </c>
      <c r="AA28">
        <f>HYPERLINK("https://klasma.github.io/Logging_1081/klagomål/A 47800-2024 FSC-klagomål.docx", "A 47800-2024")</f>
        <v/>
      </c>
      <c r="AB28">
        <f>HYPERLINK("https://klasma.github.io/Logging_1081/klagomålsmail/A 47800-2024 FSC-klagomål mail.docx", "A 47800-2024")</f>
        <v/>
      </c>
      <c r="AC28">
        <f>HYPERLINK("https://klasma.github.io/Logging_1081/tillsyn/A 47800-2024 tillsynsbegäran.docx", "A 47800-2024")</f>
        <v/>
      </c>
      <c r="AD28">
        <f>HYPERLINK("https://klasma.github.io/Logging_1081/tillsynsmail/A 47800-2024 tillsynsbegäran mail.docx", "A 47800-2024")</f>
        <v/>
      </c>
    </row>
    <row r="29" ht="15" customHeight="1">
      <c r="A29" t="inlineStr">
        <is>
          <t>A 14351-2025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45741</v>
      </c>
      <c r="E29" s="1" t="n">
        <v>46322</v>
      </c>
      <c r="F29" t="inlineStr">
        <is>
          <t>BLEKINGE LÄN</t>
        </is>
      </c>
      <c r="G29" t="inlineStr">
        <is>
          <t>RONNEBY</t>
        </is>
      </c>
      <c r="H29" t="inlineStr">
        <is>
          <t>Övriga Aktiebolag</t>
        </is>
      </c>
      <c r="I29" t="n">
        <v>5.5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Oxtungssvamp
Sotlav</t>
        </is>
      </c>
      <c r="W29">
        <f>HYPERLINK("https://klasma.github.io/Logging_1081/artfynd/A 14351-2025 artfynd.xlsx", "A 14351-2025")</f>
        <v/>
      </c>
      <c r="X29">
        <f>HYPERLINK("https://klasma.github.io/Logging_1081/kartor/A 14351-2025 karta.png", "A 14351-2025")</f>
        <v/>
      </c>
      <c r="Y29">
        <f>HYPERLINK("https://klasma.github.io/Logging_1081/kartor_geotiff/A 14351-2025 georefererad karta.tif", "A 14351-2025")</f>
        <v/>
      </c>
      <c r="AA29">
        <f>HYPERLINK("https://klasma.github.io/Logging_1081/klagomål/A 14351-2025 FSC-klagomål.docx", "A 14351-2025")</f>
        <v/>
      </c>
      <c r="AB29">
        <f>HYPERLINK("https://klasma.github.io/Logging_1081/klagomålsmail/A 14351-2025 FSC-klagomål mail.docx", "A 14351-2025")</f>
        <v/>
      </c>
      <c r="AC29">
        <f>HYPERLINK("https://klasma.github.io/Logging_1081/tillsyn/A 14351-2025 tillsynsbegäran.docx", "A 14351-2025")</f>
        <v/>
      </c>
      <c r="AD29">
        <f>HYPERLINK("https://klasma.github.io/Logging_1081/tillsynsmail/A 14351-2025 tillsynsbegäran mail.docx", "A 14351-2025")</f>
        <v/>
      </c>
    </row>
    <row r="30" ht="15" customHeight="1">
      <c r="A30" t="inlineStr">
        <is>
          <t>A 12131-2023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46322</v>
      </c>
      <c r="F30" t="inlineStr">
        <is>
          <t>BLEKINGE LÄN</t>
        </is>
      </c>
      <c r="G30" t="inlineStr">
        <is>
          <t>RONNEBY</t>
        </is>
      </c>
      <c r="I30" t="n">
        <v>3.8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Svarthakad buskskvätta
Trana</t>
        </is>
      </c>
      <c r="W30">
        <f>HYPERLINK("https://klasma.github.io/Logging_1081/artfynd/A 12131-2023 artfynd.xlsx", "A 12131-2023")</f>
        <v/>
      </c>
      <c r="X30">
        <f>HYPERLINK("https://klasma.github.io/Logging_1081/kartor/A 12131-2023 karta.png", "A 12131-2023")</f>
        <v/>
      </c>
      <c r="Y30">
        <f>HYPERLINK("https://klasma.github.io/Logging_1081/kartor_geotiff/A 12131-2023 georefererad karta.tif", "A 12131-2023")</f>
        <v/>
      </c>
      <c r="AA30">
        <f>HYPERLINK("https://klasma.github.io/Logging_1081/klagomål/A 12131-2023 FSC-klagomål.docx", "A 12131-2023")</f>
        <v/>
      </c>
      <c r="AB30">
        <f>HYPERLINK("https://klasma.github.io/Logging_1081/klagomålsmail/A 12131-2023 FSC-klagomål mail.docx", "A 12131-2023")</f>
        <v/>
      </c>
      <c r="AC30">
        <f>HYPERLINK("https://klasma.github.io/Logging_1081/tillsyn/A 12131-2023 tillsynsbegäran.docx", "A 12131-2023")</f>
        <v/>
      </c>
      <c r="AD30">
        <f>HYPERLINK("https://klasma.github.io/Logging_1081/tillsynsmail/A 12131-2023 tillsynsbegäran mail.docx", "A 12131-2023")</f>
        <v/>
      </c>
      <c r="AE30">
        <f>HYPERLINK("https://klasma.github.io/Logging_1081/fåglar/A 12131-2023 prioriterade fågelarter.docx", "A 12131-2023")</f>
        <v/>
      </c>
    </row>
    <row r="31" ht="15" customHeight="1">
      <c r="A31" t="inlineStr">
        <is>
          <t>S 1695-2020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44039</v>
      </c>
      <c r="E31" s="1" t="n">
        <v>46322</v>
      </c>
      <c r="F31" t="inlineStr">
        <is>
          <t>BLEKINGE LÄN</t>
        </is>
      </c>
      <c r="G31" t="inlineStr">
        <is>
          <t>RONNEBY</t>
        </is>
      </c>
      <c r="I31" t="n">
        <v>0.1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Gammelekslav
Grå skärelav</t>
        </is>
      </c>
      <c r="W31">
        <f>HYPERLINK("https://klasma.github.io/Logging_1081/artfynd/S 1695-2020 artfynd.xlsx", "S 1695-2020")</f>
        <v/>
      </c>
      <c r="X31">
        <f>HYPERLINK("https://klasma.github.io/Logging_1081/kartor/S 1695-2020 karta.png", "S 1695-2020")</f>
        <v/>
      </c>
      <c r="Y31">
        <f>HYPERLINK("https://klasma.github.io/Logging_1081/kartor_geotiff/S 1695-2020 georefererad karta.tif", "S 1695-2020")</f>
        <v/>
      </c>
      <c r="AA31">
        <f>HYPERLINK("https://klasma.github.io/Logging_1081/klagomål/S 1695-2020 FSC-klagomål.docx", "S 1695-2020")</f>
        <v/>
      </c>
      <c r="AB31">
        <f>HYPERLINK("https://klasma.github.io/Logging_1081/klagomålsmail/S 1695-2020 FSC-klagomål mail.docx", "S 1695-2020")</f>
        <v/>
      </c>
      <c r="AC31">
        <f>HYPERLINK("https://klasma.github.io/Logging_1081/tillsyn/S 1695-2020 tillsynsbegäran.docx", "S 1695-2020")</f>
        <v/>
      </c>
      <c r="AD31">
        <f>HYPERLINK("https://klasma.github.io/Logging_1081/tillsynsmail/S 1695-2020 tillsynsbegäran mail.docx", "S 1695-2020")</f>
        <v/>
      </c>
    </row>
    <row r="32" ht="15" customHeight="1">
      <c r="A32" t="inlineStr">
        <is>
          <t>A 15071-2022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44657</v>
      </c>
      <c r="E32" s="1" t="n">
        <v>46322</v>
      </c>
      <c r="F32" t="inlineStr">
        <is>
          <t>BLEKINGE LÄN</t>
        </is>
      </c>
      <c r="G32" t="inlineStr">
        <is>
          <t>RONNEBY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Grönhjon</t>
        </is>
      </c>
      <c r="W32">
        <f>HYPERLINK("https://klasma.github.io/Logging_1081/artfynd/A 15071-2022 artfynd.xlsx", "A 15071-2022")</f>
        <v/>
      </c>
      <c r="X32">
        <f>HYPERLINK("https://klasma.github.io/Logging_1081/kartor/A 15071-2022 karta.png", "A 15071-2022")</f>
        <v/>
      </c>
      <c r="Y32">
        <f>HYPERLINK("https://klasma.github.io/Logging_1081/kartor_geotiff/A 15071-2022 georefererad karta.tif", "A 15071-2022")</f>
        <v/>
      </c>
      <c r="AA32">
        <f>HYPERLINK("https://klasma.github.io/Logging_1081/klagomål/A 15071-2022 FSC-klagomål.docx", "A 15071-2022")</f>
        <v/>
      </c>
      <c r="AB32">
        <f>HYPERLINK("https://klasma.github.io/Logging_1081/klagomålsmail/A 15071-2022 FSC-klagomål mail.docx", "A 15071-2022")</f>
        <v/>
      </c>
      <c r="AC32">
        <f>HYPERLINK("https://klasma.github.io/Logging_1081/tillsyn/A 15071-2022 tillsynsbegäran.docx", "A 15071-2022")</f>
        <v/>
      </c>
      <c r="AD32">
        <f>HYPERLINK("https://klasma.github.io/Logging_1081/tillsynsmail/A 15071-2022 tillsynsbegäran mail.docx", "A 15071-2022")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46322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21446-2023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46322</v>
      </c>
      <c r="F34" t="inlineStr">
        <is>
          <t>BLEKINGE LÄN</t>
        </is>
      </c>
      <c r="G34" t="inlineStr">
        <is>
          <t>RONNEBY</t>
        </is>
      </c>
      <c r="H34" t="inlineStr">
        <is>
          <t>Kommuner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HYPERLINK("https://klasma.github.io/Logging_1081/artfynd/A 21446-2023 artfynd.xlsx", "A 21446-2023")</f>
        <v/>
      </c>
      <c r="X34">
        <f>HYPERLINK("https://klasma.github.io/Logging_1081/kartor/A 21446-2023 karta.png", "A 21446-2023")</f>
        <v/>
      </c>
      <c r="Y34">
        <f>HYPERLINK("https://klasma.github.io/Logging_1081/kartor_geotiff/A 21446-2023 georefererad karta.tif", "A 21446-2023")</f>
        <v/>
      </c>
      <c r="AA34">
        <f>HYPERLINK("https://klasma.github.io/Logging_1081/klagomål/A 21446-2023 FSC-klagomål.docx", "A 21446-2023")</f>
        <v/>
      </c>
      <c r="AB34">
        <f>HYPERLINK("https://klasma.github.io/Logging_1081/klagomålsmail/A 21446-2023 FSC-klagomål mail.docx", "A 21446-2023")</f>
        <v/>
      </c>
      <c r="AC34">
        <f>HYPERLINK("https://klasma.github.io/Logging_1081/tillsyn/A 21446-2023 tillsynsbegäran.docx", "A 21446-2023")</f>
        <v/>
      </c>
      <c r="AD34">
        <f>HYPERLINK("https://klasma.github.io/Logging_1081/tillsynsmail/A 21446-2023 tillsynsbegäran mail.docx", "A 21446-2023")</f>
        <v/>
      </c>
    </row>
    <row r="35" ht="15" customHeight="1">
      <c r="A35" t="inlineStr">
        <is>
          <t>A 41058-2024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46322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HYPERLINK("https://klasma.github.io/Logging_1081/artfynd/A 41058-2024 artfynd.xlsx", "A 41058-2024")</f>
        <v/>
      </c>
      <c r="X35">
        <f>HYPERLINK("https://klasma.github.io/Logging_1081/kartor/A 41058-2024 karta.png", "A 41058-2024")</f>
        <v/>
      </c>
      <c r="Y35">
        <f>HYPERLINK("https://klasma.github.io/Logging_1081/kartor_geotiff/A 41058-2024 georefererad karta.tif", "A 41058-2024")</f>
        <v/>
      </c>
      <c r="AA35">
        <f>HYPERLINK("https://klasma.github.io/Logging_1081/klagomål/A 41058-2024 FSC-klagomål.docx", "A 41058-2024")</f>
        <v/>
      </c>
      <c r="AB35">
        <f>HYPERLINK("https://klasma.github.io/Logging_1081/klagomålsmail/A 41058-2024 FSC-klagomål mail.docx", "A 41058-2024")</f>
        <v/>
      </c>
      <c r="AC35">
        <f>HYPERLINK("https://klasma.github.io/Logging_1081/tillsyn/A 41058-2024 tillsynsbegäran.docx", "A 41058-2024")</f>
        <v/>
      </c>
      <c r="AD35">
        <f>HYPERLINK("https://klasma.github.io/Logging_1081/tillsynsmail/A 41058-2024 tillsynsbegäran mail.docx", "A 41058-2024")</f>
        <v/>
      </c>
      <c r="AE35">
        <f>HYPERLINK("https://klasma.github.io/Logging_1081/fåglar/A 41058-2024 prioriterade fågelarter.docx", "A 41058-2024")</f>
        <v/>
      </c>
    </row>
    <row r="36" ht="15" customHeight="1">
      <c r="A36" t="inlineStr">
        <is>
          <t>A 24296-2024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45457</v>
      </c>
      <c r="E36" s="1" t="n">
        <v>46322</v>
      </c>
      <c r="F36" t="inlineStr">
        <is>
          <t>BLEKINGE LÄN</t>
        </is>
      </c>
      <c r="G36" t="inlineStr">
        <is>
          <t>RONNEBY</t>
        </is>
      </c>
      <c r="I36" t="n">
        <v>12.7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HYPERLINK("https://klasma.github.io/Logging_1081/artfynd/A 24296-2024 artfynd.xlsx", "A 24296-2024")</f>
        <v/>
      </c>
      <c r="X36">
        <f>HYPERLINK("https://klasma.github.io/Logging_1081/kartor/A 24296-2024 karta.png", "A 24296-2024")</f>
        <v/>
      </c>
      <c r="Y36">
        <f>HYPERLINK("https://klasma.github.io/Logging_1081/kartor_geotiff/A 24296-2024 georefererad karta.tif", "A 24296-2024")</f>
        <v/>
      </c>
      <c r="AA36">
        <f>HYPERLINK("https://klasma.github.io/Logging_1081/klagomål/A 24296-2024 FSC-klagomål.docx", "A 24296-2024")</f>
        <v/>
      </c>
      <c r="AB36">
        <f>HYPERLINK("https://klasma.github.io/Logging_1081/klagomålsmail/A 24296-2024 FSC-klagomål mail.docx", "A 24296-2024")</f>
        <v/>
      </c>
      <c r="AC36">
        <f>HYPERLINK("https://klasma.github.io/Logging_1081/tillsyn/A 24296-2024 tillsynsbegäran.docx", "A 24296-2024")</f>
        <v/>
      </c>
      <c r="AD36">
        <f>HYPERLINK("https://klasma.github.io/Logging_1081/tillsynsmail/A 24296-2024 tillsynsbegäran mail.docx", "A 24296-2024")</f>
        <v/>
      </c>
    </row>
    <row r="37" ht="15" customHeight="1">
      <c r="A37" t="inlineStr">
        <is>
          <t>A 6431-2025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45699</v>
      </c>
      <c r="E37" s="1" t="n">
        <v>46322</v>
      </c>
      <c r="F37" t="inlineStr">
        <is>
          <t>BLEKINGE LÄN</t>
        </is>
      </c>
      <c r="G37" t="inlineStr">
        <is>
          <t>RONNEBY</t>
        </is>
      </c>
      <c r="I37" t="n">
        <v>1.1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HYPERLINK("https://klasma.github.io/Logging_1081/artfynd/A 6431-2025 artfynd.xlsx", "A 6431-2025")</f>
        <v/>
      </c>
      <c r="X37">
        <f>HYPERLINK("https://klasma.github.io/Logging_1081/kartor/A 6431-2025 karta.png", "A 6431-2025")</f>
        <v/>
      </c>
      <c r="Y37">
        <f>HYPERLINK("https://klasma.github.io/Logging_1081/kartor_geotiff/A 6431-2025 georefererad karta.tif", "A 6431-2025")</f>
        <v/>
      </c>
      <c r="AA37">
        <f>HYPERLINK("https://klasma.github.io/Logging_1081/klagomål/A 6431-2025 FSC-klagomål.docx", "A 6431-2025")</f>
        <v/>
      </c>
      <c r="AB37">
        <f>HYPERLINK("https://klasma.github.io/Logging_1081/klagomålsmail/A 6431-2025 FSC-klagomål mail.docx", "A 6431-2025")</f>
        <v/>
      </c>
      <c r="AC37">
        <f>HYPERLINK("https://klasma.github.io/Logging_1081/tillsyn/A 6431-2025 tillsynsbegäran.docx", "A 6431-2025")</f>
        <v/>
      </c>
      <c r="AD37">
        <f>HYPERLINK("https://klasma.github.io/Logging_1081/tillsynsmail/A 6431-2025 tillsynsbegäran mail.docx", "A 6431-2025")</f>
        <v/>
      </c>
    </row>
    <row r="38" ht="15" customHeight="1">
      <c r="A38" t="inlineStr">
        <is>
          <t>A 38228-2024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46322</v>
      </c>
      <c r="F38" t="inlineStr">
        <is>
          <t>BLEKINGE LÄN</t>
        </is>
      </c>
      <c r="G38" t="inlineStr">
        <is>
          <t>RONNEBY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HYPERLINK("https://klasma.github.io/Logging_1081/artfynd/A 38228-2024 artfynd.xlsx", "A 38228-2024")</f>
        <v/>
      </c>
      <c r="X38">
        <f>HYPERLINK("https://klasma.github.io/Logging_1081/kartor/A 38228-2024 karta.png", "A 38228-2024")</f>
        <v/>
      </c>
      <c r="Y38">
        <f>HYPERLINK("https://klasma.github.io/Logging_1081/kartor_geotiff/A 38228-2024 georefererad karta.tif", "A 38228-2024")</f>
        <v/>
      </c>
      <c r="AA38">
        <f>HYPERLINK("https://klasma.github.io/Logging_1081/klagomål/A 38228-2024 FSC-klagomål.docx", "A 38228-2024")</f>
        <v/>
      </c>
      <c r="AB38">
        <f>HYPERLINK("https://klasma.github.io/Logging_1081/klagomålsmail/A 38228-2024 FSC-klagomål mail.docx", "A 38228-2024")</f>
        <v/>
      </c>
      <c r="AC38">
        <f>HYPERLINK("https://klasma.github.io/Logging_1081/tillsyn/A 38228-2024 tillsynsbegäran.docx", "A 38228-2024")</f>
        <v/>
      </c>
      <c r="AD38">
        <f>HYPERLINK("https://klasma.github.io/Logging_1081/tillsynsmail/A 38228-2024 tillsynsbegäran mail.docx", "A 38228-2024")</f>
        <v/>
      </c>
    </row>
    <row r="39" ht="15" customHeight="1">
      <c r="A39" t="inlineStr">
        <is>
          <t>A 5571-2023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44957</v>
      </c>
      <c r="E39" s="1" t="n">
        <v>46322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Ekoxe</t>
        </is>
      </c>
      <c r="W39">
        <f>HYPERLINK("https://klasma.github.io/Logging_1081/artfynd/A 5571-2023 artfynd.xlsx", "A 5571-2023")</f>
        <v/>
      </c>
      <c r="X39">
        <f>HYPERLINK("https://klasma.github.io/Logging_1081/kartor/A 5571-2023 karta.png", "A 5571-2023")</f>
        <v/>
      </c>
      <c r="Y39">
        <f>HYPERLINK("https://klasma.github.io/Logging_1081/kartor_geotiff/A 5571-2023 georefererad karta.tif", "A 5571-2023")</f>
        <v/>
      </c>
      <c r="AA39">
        <f>HYPERLINK("https://klasma.github.io/Logging_1081/klagomål/A 5571-2023 FSC-klagomål.docx", "A 5571-2023")</f>
        <v/>
      </c>
      <c r="AB39">
        <f>HYPERLINK("https://klasma.github.io/Logging_1081/klagomålsmail/A 5571-2023 FSC-klagomål mail.docx", "A 5571-2023")</f>
        <v/>
      </c>
      <c r="AC39">
        <f>HYPERLINK("https://klasma.github.io/Logging_1081/tillsyn/A 5571-2023 tillsynsbegäran.docx", "A 5571-2023")</f>
        <v/>
      </c>
      <c r="AD39">
        <f>HYPERLINK("https://klasma.github.io/Logging_1081/tillsynsmail/A 5571-2023 tillsynsbegäran mail.docx", "A 5571-2023")</f>
        <v/>
      </c>
    </row>
    <row r="40" ht="15" customHeight="1">
      <c r="A40" t="inlineStr">
        <is>
          <t>A 8961-2024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46322</v>
      </c>
      <c r="F40" t="inlineStr">
        <is>
          <t>BLEKINGE LÄN</t>
        </is>
      </c>
      <c r="G40" t="inlineStr">
        <is>
          <t>RONNEBY</t>
        </is>
      </c>
      <c r="I40" t="n">
        <v>19.7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HYPERLINK("https://klasma.github.io/Logging_1081/artfynd/A 8961-2024 artfynd.xlsx", "A 8961-2024")</f>
        <v/>
      </c>
      <c r="X40">
        <f>HYPERLINK("https://klasma.github.io/Logging_1081/kartor/A 8961-2024 karta.png", "A 8961-2024")</f>
        <v/>
      </c>
      <c r="Y40">
        <f>HYPERLINK("https://klasma.github.io/Logging_1081/kartor_geotiff/A 8961-2024 georefererad karta.tif", "A 8961-2024")</f>
        <v/>
      </c>
      <c r="AA40">
        <f>HYPERLINK("https://klasma.github.io/Logging_1081/klagomål/A 8961-2024 FSC-klagomål.docx", "A 8961-2024")</f>
        <v/>
      </c>
      <c r="AB40">
        <f>HYPERLINK("https://klasma.github.io/Logging_1081/klagomålsmail/A 8961-2024 FSC-klagomål mail.docx", "A 8961-2024")</f>
        <v/>
      </c>
      <c r="AC40">
        <f>HYPERLINK("https://klasma.github.io/Logging_1081/tillsyn/A 8961-2024 tillsynsbegäran.docx", "A 8961-2024")</f>
        <v/>
      </c>
      <c r="AD40">
        <f>HYPERLINK("https://klasma.github.io/Logging_1081/tillsynsmail/A 8961-2024 tillsynsbegäran mail.docx", "A 8961-2024")</f>
        <v/>
      </c>
    </row>
    <row r="41" ht="15" customHeight="1">
      <c r="A41" t="inlineStr">
        <is>
          <t>A 12660-2026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46091</v>
      </c>
      <c r="E41" s="1" t="n">
        <v>46322</v>
      </c>
      <c r="F41" t="inlineStr">
        <is>
          <t>BLEKINGE LÄN</t>
        </is>
      </c>
      <c r="G41" t="inlineStr">
        <is>
          <t>RONNEBY</t>
        </is>
      </c>
      <c r="I41" t="n">
        <v>3.4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12660-2026 artfynd.xlsx", "A 12660-2026")</f>
        <v/>
      </c>
      <c r="X41">
        <f>HYPERLINK("https://klasma.github.io/Logging_1081/kartor/A 12660-2026 karta.png", "A 12660-2026")</f>
        <v/>
      </c>
      <c r="Y41">
        <f>HYPERLINK("https://klasma.github.io/Logging_1081/kartor_geotiff/A 12660-2026 georefererad karta.tif", "A 12660-2026")</f>
        <v/>
      </c>
      <c r="AA41">
        <f>HYPERLINK("https://klasma.github.io/Logging_1081/klagomål/A 12660-2026 FSC-klagomål.docx", "A 12660-2026")</f>
        <v/>
      </c>
      <c r="AB41">
        <f>HYPERLINK("https://klasma.github.io/Logging_1081/klagomålsmail/A 12660-2026 FSC-klagomål mail.docx", "A 12660-2026")</f>
        <v/>
      </c>
      <c r="AC41">
        <f>HYPERLINK("https://klasma.github.io/Logging_1081/tillsyn/A 12660-2026 tillsynsbegäran.docx", "A 12660-2026")</f>
        <v/>
      </c>
      <c r="AD41">
        <f>HYPERLINK("https://klasma.github.io/Logging_1081/tillsynsmail/A 12660-2026 tillsynsbegäran mail.docx", "A 12660-2026")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46322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HYPERLINK("https://klasma.github.io/Logging_1081/artfynd/A 19471-2026 artfynd.xlsx", "A 19471-2026")</f>
        <v/>
      </c>
      <c r="X42">
        <f>HYPERLINK("https://klasma.github.io/Logging_1081/kartor/A 19471-2026 karta.png", "A 19471-2026")</f>
        <v/>
      </c>
      <c r="Y42">
        <f>HYPERLINK("https://klasma.github.io/Logging_1081/kartor_geotiff/A 19471-2026 georefererad karta.tif", "A 19471-2026")</f>
        <v/>
      </c>
      <c r="AA42">
        <f>HYPERLINK("https://klasma.github.io/Logging_1081/klagomål/A 19471-2026 FSC-klagomål.docx", "A 19471-2026")</f>
        <v/>
      </c>
      <c r="AB42">
        <f>HYPERLINK("https://klasma.github.io/Logging_1081/klagomålsmail/A 19471-2026 FSC-klagomål mail.docx", "A 19471-2026")</f>
        <v/>
      </c>
      <c r="AC42">
        <f>HYPERLINK("https://klasma.github.io/Logging_1081/tillsyn/A 19471-2026 tillsynsbegäran.docx", "A 19471-2026")</f>
        <v/>
      </c>
      <c r="AD42">
        <f>HYPERLINK("https://klasma.github.io/Logging_1081/tillsynsmail/A 19471-2026 tillsynsbegäran mail.docx", "A 19471-2026")</f>
        <v/>
      </c>
    </row>
    <row r="43" ht="15" customHeight="1">
      <c r="A43" t="inlineStr">
        <is>
          <t>A 45413-2023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46322</v>
      </c>
      <c r="F43" t="inlineStr">
        <is>
          <t>BLEKINGE LÄN</t>
        </is>
      </c>
      <c r="G43" t="inlineStr">
        <is>
          <t>RONNEBY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Jungfrulin</t>
        </is>
      </c>
      <c r="W43">
        <f>HYPERLINK("https://klasma.github.io/Logging_1081/artfynd/A 45413-2023 artfynd.xlsx", "A 45413-2023")</f>
        <v/>
      </c>
      <c r="X43">
        <f>HYPERLINK("https://klasma.github.io/Logging_1081/kartor/A 45413-2023 karta.png", "A 45413-2023")</f>
        <v/>
      </c>
      <c r="Y43">
        <f>HYPERLINK("https://klasma.github.io/Logging_1081/kartor_geotiff/A 45413-2023 georefererad karta.tif", "A 45413-2023")</f>
        <v/>
      </c>
      <c r="AA43">
        <f>HYPERLINK("https://klasma.github.io/Logging_1081/klagomål/A 45413-2023 FSC-klagomål.docx", "A 45413-2023")</f>
        <v/>
      </c>
      <c r="AB43">
        <f>HYPERLINK("https://klasma.github.io/Logging_1081/klagomålsmail/A 45413-2023 FSC-klagomål mail.docx", "A 45413-2023")</f>
        <v/>
      </c>
      <c r="AC43">
        <f>HYPERLINK("https://klasma.github.io/Logging_1081/tillsyn/A 45413-2023 tillsynsbegäran.docx", "A 45413-2023")</f>
        <v/>
      </c>
      <c r="AD43">
        <f>HYPERLINK("https://klasma.github.io/Logging_1081/tillsynsmail/A 45413-2023 tillsynsbegäran mail.docx", "A 45413-2023")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46322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Tibast</t>
        </is>
      </c>
      <c r="W44">
        <f>HYPERLINK("https://klasma.github.io/Logging_1081/artfynd/A 9309-2023 artfynd.xlsx", "A 9309-2023")</f>
        <v/>
      </c>
      <c r="X44">
        <f>HYPERLINK("https://klasma.github.io/Logging_1081/kartor/A 9309-2023 karta.png", "A 9309-2023")</f>
        <v/>
      </c>
      <c r="Y44">
        <f>HYPERLINK("https://klasma.github.io/Logging_1081/kartor_geotiff/A 9309-2023 georefererad karta.tif", "A 9309-2023")</f>
        <v/>
      </c>
      <c r="AA44">
        <f>HYPERLINK("https://klasma.github.io/Logging_1081/klagomål/A 9309-2023 FSC-klagomål.docx", "A 9309-2023")</f>
        <v/>
      </c>
      <c r="AB44">
        <f>HYPERLINK("https://klasma.github.io/Logging_1081/klagomålsmail/A 9309-2023 FSC-klagomål mail.docx", "A 9309-2023")</f>
        <v/>
      </c>
      <c r="AC44">
        <f>HYPERLINK("https://klasma.github.io/Logging_1081/tillsyn/A 9309-2023 tillsynsbegäran.docx", "A 9309-2023")</f>
        <v/>
      </c>
      <c r="AD44">
        <f>HYPERLINK("https://klasma.github.io/Logging_1081/tillsynsmail/A 9309-2023 tillsynsbegäran mail.docx", "A 9309-2023")</f>
        <v/>
      </c>
    </row>
    <row r="45" ht="15" customHeight="1">
      <c r="A45" t="inlineStr">
        <is>
          <t>A 33929-2026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46252</v>
      </c>
      <c r="E45" s="1" t="n">
        <v>46322</v>
      </c>
      <c r="F45" t="inlineStr">
        <is>
          <t>BLEKINGE LÄN</t>
        </is>
      </c>
      <c r="G45" t="inlineStr">
        <is>
          <t>RONNEBY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HYPERLINK("https://klasma.github.io/Logging_1081/artfynd/A 33929-2026 artfynd.xlsx", "A 33929-2026")</f>
        <v/>
      </c>
      <c r="X45">
        <f>HYPERLINK("https://klasma.github.io/Logging_1081/kartor/A 33929-2026 karta.png", "A 33929-2026")</f>
        <v/>
      </c>
      <c r="Y45">
        <f>HYPERLINK("https://klasma.github.io/Logging_1081/kartor_geotiff/A 33929-2026 georefererad karta.tif", "A 33929-2026")</f>
        <v/>
      </c>
      <c r="AA45">
        <f>HYPERLINK("https://klasma.github.io/Logging_1081/klagomål/A 33929-2026 FSC-klagomål.docx", "A 33929-2026")</f>
        <v/>
      </c>
      <c r="AB45">
        <f>HYPERLINK("https://klasma.github.io/Logging_1081/klagomålsmail/A 33929-2026 FSC-klagomål mail.docx", "A 33929-2026")</f>
        <v/>
      </c>
      <c r="AC45">
        <f>HYPERLINK("https://klasma.github.io/Logging_1081/tillsyn/A 33929-2026 tillsynsbegäran.docx", "A 33929-2026")</f>
        <v/>
      </c>
      <c r="AD45">
        <f>HYPERLINK("https://klasma.github.io/Logging_1081/tillsynsmail/A 33929-2026 tillsynsbegäran mail.docx", "A 33929-2026")</f>
        <v/>
      </c>
    </row>
    <row r="46" ht="15" customHeight="1">
      <c r="A46" t="inlineStr">
        <is>
          <t>A 41053-2024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46322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2.8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Hårklomossa</t>
        </is>
      </c>
      <c r="W46">
        <f>HYPERLINK("https://klasma.github.io/Logging_1081/artfynd/A 41053-2024 artfynd.xlsx", "A 41053-2024")</f>
        <v/>
      </c>
      <c r="X46">
        <f>HYPERLINK("https://klasma.github.io/Logging_1081/kartor/A 41053-2024 karta.png", "A 41053-2024")</f>
        <v/>
      </c>
      <c r="Y46">
        <f>HYPERLINK("https://klasma.github.io/Logging_1081/kartor_geotiff/A 41053-2024 georefererad karta.tif", "A 41053-2024")</f>
        <v/>
      </c>
      <c r="AA46">
        <f>HYPERLINK("https://klasma.github.io/Logging_1081/klagomål/A 41053-2024 FSC-klagomål.docx", "A 41053-2024")</f>
        <v/>
      </c>
      <c r="AB46">
        <f>HYPERLINK("https://klasma.github.io/Logging_1081/klagomålsmail/A 41053-2024 FSC-klagomål mail.docx", "A 41053-2024")</f>
        <v/>
      </c>
      <c r="AC46">
        <f>HYPERLINK("https://klasma.github.io/Logging_1081/tillsyn/A 41053-2024 tillsynsbegäran.docx", "A 41053-2024")</f>
        <v/>
      </c>
      <c r="AD46">
        <f>HYPERLINK("https://klasma.github.io/Logging_1081/tillsynsmail/A 41053-2024 tillsynsbegäran mail.docx", "A 41053-2024")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46322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26288-2026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46182</v>
      </c>
      <c r="E48" s="1" t="n">
        <v>46322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1.6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Havstulpanlav</t>
        </is>
      </c>
      <c r="W48">
        <f>HYPERLINK("https://klasma.github.io/Logging_1081/artfynd/A 26288-2026 artfynd.xlsx", "A 26288-2026")</f>
        <v/>
      </c>
      <c r="X48">
        <f>HYPERLINK("https://klasma.github.io/Logging_1081/kartor/A 26288-2026 karta.png", "A 26288-2026")</f>
        <v/>
      </c>
      <c r="Y48">
        <f>HYPERLINK("https://klasma.github.io/Logging_1081/kartor_geotiff/A 26288-2026 georefererad karta.tif", "A 26288-2026")</f>
        <v/>
      </c>
      <c r="AA48">
        <f>HYPERLINK("https://klasma.github.io/Logging_1081/klagomål/A 26288-2026 FSC-klagomål.docx", "A 26288-2026")</f>
        <v/>
      </c>
      <c r="AB48">
        <f>HYPERLINK("https://klasma.github.io/Logging_1081/klagomålsmail/A 26288-2026 FSC-klagomål mail.docx", "A 26288-2026")</f>
        <v/>
      </c>
      <c r="AC48">
        <f>HYPERLINK("https://klasma.github.io/Logging_1081/tillsyn/A 26288-2026 tillsynsbegäran.docx", "A 26288-2026")</f>
        <v/>
      </c>
      <c r="AD48">
        <f>HYPERLINK("https://klasma.github.io/Logging_1081/tillsynsmail/A 26288-2026 tillsynsbegäran mail.docx", "A 26288-2026")</f>
        <v/>
      </c>
    </row>
    <row r="49" ht="15" customHeight="1">
      <c r="A49" t="inlineStr">
        <is>
          <t>A 26114-2026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46322</v>
      </c>
      <c r="F49" t="inlineStr">
        <is>
          <t>BLEKINGE LÄN</t>
        </is>
      </c>
      <c r="G49" t="inlineStr">
        <is>
          <t>RONNEBY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HYPERLINK("https://klasma.github.io/Logging_1081/artfynd/A 26114-2026 artfynd.xlsx", "A 26114-2026")</f>
        <v/>
      </c>
      <c r="X49">
        <f>HYPERLINK("https://klasma.github.io/Logging_1081/kartor/A 26114-2026 karta.png", "A 26114-2026")</f>
        <v/>
      </c>
      <c r="Y49">
        <f>HYPERLINK("https://klasma.github.io/Logging_1081/kartor_geotiff/A 26114-2026 georefererad karta.tif", "A 26114-2026")</f>
        <v/>
      </c>
      <c r="AA49">
        <f>HYPERLINK("https://klasma.github.io/Logging_1081/klagomål/A 26114-2026 FSC-klagomål.docx", "A 26114-2026")</f>
        <v/>
      </c>
      <c r="AB49">
        <f>HYPERLINK("https://klasma.github.io/Logging_1081/klagomålsmail/A 26114-2026 FSC-klagomål mail.docx", "A 26114-2026")</f>
        <v/>
      </c>
      <c r="AC49">
        <f>HYPERLINK("https://klasma.github.io/Logging_1081/tillsyn/A 26114-2026 tillsynsbegäran.docx", "A 26114-2026")</f>
        <v/>
      </c>
      <c r="AD49">
        <f>HYPERLINK("https://klasma.github.io/Logging_1081/tillsynsmail/A 26114-2026 tillsynsbegäran mail.docx", "A 26114-2026")</f>
        <v/>
      </c>
    </row>
    <row r="50" ht="15" customHeight="1">
      <c r="A50" t="inlineStr">
        <is>
          <t>A 7842-2023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46322</v>
      </c>
      <c r="F50" t="inlineStr">
        <is>
          <t>BLEKINGE LÄN</t>
        </is>
      </c>
      <c r="G50" t="inlineStr">
        <is>
          <t>RONNEBY</t>
        </is>
      </c>
      <c r="H50" t="inlineStr">
        <is>
          <t>Övriga Aktiebolag</t>
        </is>
      </c>
      <c r="I50" t="n">
        <v>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Bokvårtlav</t>
        </is>
      </c>
      <c r="W50">
        <f>HYPERLINK("https://klasma.github.io/Logging_1081/artfynd/A 7842-2023 artfynd.xlsx", "A 7842-2023")</f>
        <v/>
      </c>
      <c r="X50">
        <f>HYPERLINK("https://klasma.github.io/Logging_1081/kartor/A 7842-2023 karta.png", "A 7842-2023")</f>
        <v/>
      </c>
      <c r="Y50">
        <f>HYPERLINK("https://klasma.github.io/Logging_1081/kartor_geotiff/A 7842-2023 georefererad karta.tif", "A 7842-2023")</f>
        <v/>
      </c>
      <c r="AA50">
        <f>HYPERLINK("https://klasma.github.io/Logging_1081/klagomål/A 7842-2023 FSC-klagomål.docx", "A 7842-2023")</f>
        <v/>
      </c>
      <c r="AB50">
        <f>HYPERLINK("https://klasma.github.io/Logging_1081/klagomålsmail/A 7842-2023 FSC-klagomål mail.docx", "A 7842-2023")</f>
        <v/>
      </c>
      <c r="AC50">
        <f>HYPERLINK("https://klasma.github.io/Logging_1081/tillsyn/A 7842-2023 tillsynsbegäran.docx", "A 7842-2023")</f>
        <v/>
      </c>
      <c r="AD50">
        <f>HYPERLINK("https://klasma.github.io/Logging_1081/tillsynsmail/A 7842-2023 tillsynsbegäran mail.docx", "A 7842-2023")</f>
        <v/>
      </c>
    </row>
    <row r="51" ht="15" customHeight="1">
      <c r="A51" t="inlineStr">
        <is>
          <t>A 9922-2025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45717</v>
      </c>
      <c r="E51" s="1" t="n">
        <v>46322</v>
      </c>
      <c r="F51" t="inlineStr">
        <is>
          <t>BLEKINGE LÄN</t>
        </is>
      </c>
      <c r="G51" t="inlineStr">
        <is>
          <t>RONNEBY</t>
        </is>
      </c>
      <c r="I51" t="n">
        <v>2.3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Trädporella</t>
        </is>
      </c>
      <c r="W51">
        <f>HYPERLINK("https://klasma.github.io/Logging_1081/artfynd/A 9922-2025 artfynd.xlsx", "A 9922-2025")</f>
        <v/>
      </c>
      <c r="X51">
        <f>HYPERLINK("https://klasma.github.io/Logging_1081/kartor/A 9922-2025 karta.png", "A 9922-2025")</f>
        <v/>
      </c>
      <c r="Y51">
        <f>HYPERLINK("https://klasma.github.io/Logging_1081/kartor_geotiff/A 9922-2025 georefererad karta.tif", "A 9922-2025")</f>
        <v/>
      </c>
      <c r="AA51">
        <f>HYPERLINK("https://klasma.github.io/Logging_1081/klagomål/A 9922-2025 FSC-klagomål.docx", "A 9922-2025")</f>
        <v/>
      </c>
      <c r="AB51">
        <f>HYPERLINK("https://klasma.github.io/Logging_1081/klagomålsmail/A 9922-2025 FSC-klagomål mail.docx", "A 9922-2025")</f>
        <v/>
      </c>
      <c r="AC51">
        <f>HYPERLINK("https://klasma.github.io/Logging_1081/tillsyn/A 9922-2025 tillsynsbegäran.docx", "A 9922-2025")</f>
        <v/>
      </c>
      <c r="AD51">
        <f>HYPERLINK("https://klasma.github.io/Logging_1081/tillsynsmail/A 9922-2025 tillsynsbegäran mail.docx", "A 9922-2025")</f>
        <v/>
      </c>
    </row>
    <row r="52" ht="15" customHeight="1">
      <c r="A52" t="inlineStr">
        <is>
          <t>A 14940-2023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46322</v>
      </c>
      <c r="F52" t="inlineStr">
        <is>
          <t>BLEKINGE LÄN</t>
        </is>
      </c>
      <c r="G52" t="inlineStr">
        <is>
          <t>RONNEBY</t>
        </is>
      </c>
      <c r="H52" t="inlineStr">
        <is>
          <t>Övriga statliga verk och myndigheter</t>
        </is>
      </c>
      <c r="I52" t="n">
        <v>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Grönhjon</t>
        </is>
      </c>
      <c r="W52">
        <f>HYPERLINK("https://klasma.github.io/Logging_1081/artfynd/A 14940-2023 artfynd.xlsx", "A 14940-2023")</f>
        <v/>
      </c>
      <c r="X52">
        <f>HYPERLINK("https://klasma.github.io/Logging_1081/kartor/A 14940-2023 karta.png", "A 14940-2023")</f>
        <v/>
      </c>
      <c r="Y52">
        <f>HYPERLINK("https://klasma.github.io/Logging_1081/kartor_geotiff/A 14940-2023 georefererad karta.tif", "A 14940-2023")</f>
        <v/>
      </c>
      <c r="AA52">
        <f>HYPERLINK("https://klasma.github.io/Logging_1081/klagomål/A 14940-2023 FSC-klagomål.docx", "A 14940-2023")</f>
        <v/>
      </c>
      <c r="AB52">
        <f>HYPERLINK("https://klasma.github.io/Logging_1081/klagomålsmail/A 14940-2023 FSC-klagomål mail.docx", "A 14940-2023")</f>
        <v/>
      </c>
      <c r="AC52">
        <f>HYPERLINK("https://klasma.github.io/Logging_1081/tillsyn/A 14940-2023 tillsynsbegäran.docx", "A 14940-2023")</f>
        <v/>
      </c>
      <c r="AD52">
        <f>HYPERLINK("https://klasma.github.io/Logging_1081/tillsynsmail/A 14940-2023 tillsynsbegäran mail.docx", "A 14940-2023")</f>
        <v/>
      </c>
    </row>
    <row r="53" ht="15" customHeight="1">
      <c r="A53" t="inlineStr">
        <is>
          <t>A 43995-2026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46317</v>
      </c>
      <c r="E53" s="1" t="n">
        <v>46322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9.1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HYPERLINK("https://klasma.github.io/Logging_1081/artfynd/A 43995-2026 artfynd.xlsx", "A 43995-2026")</f>
        <v/>
      </c>
      <c r="X53">
        <f>HYPERLINK("https://klasma.github.io/Logging_1081/kartor/A 43995-2026 karta.png", "A 43995-2026")</f>
        <v/>
      </c>
      <c r="Y53">
        <f>HYPERLINK("https://klasma.github.io/Logging_1081/kartor_geotiff/A 43995-2026 georefererad karta.tif", "A 43995-2026")</f>
        <v/>
      </c>
      <c r="AA53">
        <f>HYPERLINK("https://klasma.github.io/Logging_1081/klagomål/A 43995-2026 FSC-klagomål.docx", "A 43995-2026")</f>
        <v/>
      </c>
      <c r="AB53">
        <f>HYPERLINK("https://klasma.github.io/Logging_1081/klagomålsmail/A 43995-2026 FSC-klagomål mail.docx", "A 43995-2026")</f>
        <v/>
      </c>
      <c r="AC53">
        <f>HYPERLINK("https://klasma.github.io/Logging_1081/tillsyn/A 43995-2026 tillsynsbegäran.docx", "A 43995-2026")</f>
        <v/>
      </c>
      <c r="AD53">
        <f>HYPERLINK("https://klasma.github.io/Logging_1081/tillsynsmail/A 43995-2026 tillsynsbegäran mail.docx", "A 43995-2026")</f>
        <v/>
      </c>
    </row>
    <row r="54" ht="15" customHeight="1">
      <c r="A54" t="inlineStr">
        <is>
          <t>A 44073-2026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46317</v>
      </c>
      <c r="E54" s="1" t="n">
        <v>46322</v>
      </c>
      <c r="F54" t="inlineStr">
        <is>
          <t>BLEKINGE LÄN</t>
        </is>
      </c>
      <c r="G54" t="inlineStr">
        <is>
          <t>RONNEBY</t>
        </is>
      </c>
      <c r="H54" t="inlineStr">
        <is>
          <t>Övriga Aktiebolag</t>
        </is>
      </c>
      <c r="I54" t="n">
        <v>1.6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HYPERLINK("https://klasma.github.io/Logging_1081/artfynd/A 44073-2026 artfynd.xlsx", "A 44073-2026")</f>
        <v/>
      </c>
      <c r="X54">
        <f>HYPERLINK("https://klasma.github.io/Logging_1081/kartor/A 44073-2026 karta.png", "A 44073-2026")</f>
        <v/>
      </c>
      <c r="Y54">
        <f>HYPERLINK("https://klasma.github.io/Logging_1081/kartor_geotiff/A 44073-2026 georefererad karta.tif", "A 44073-2026")</f>
        <v/>
      </c>
      <c r="AA54">
        <f>HYPERLINK("https://klasma.github.io/Logging_1081/klagomål/A 44073-2026 FSC-klagomål.docx", "A 44073-2026")</f>
        <v/>
      </c>
      <c r="AB54">
        <f>HYPERLINK("https://klasma.github.io/Logging_1081/klagomålsmail/A 44073-2026 FSC-klagomål mail.docx", "A 44073-2026")</f>
        <v/>
      </c>
      <c r="AC54">
        <f>HYPERLINK("https://klasma.github.io/Logging_1081/tillsyn/A 44073-2026 tillsynsbegäran.docx", "A 44073-2026")</f>
        <v/>
      </c>
      <c r="AD54">
        <f>HYPERLINK("https://klasma.github.io/Logging_1081/tillsynsmail/A 44073-2026 tillsynsbegäran mail.docx", "A 44073-2026")</f>
        <v/>
      </c>
    </row>
    <row r="55" ht="15" customHeight="1">
      <c r="A55" t="inlineStr">
        <is>
          <t>S 778-2026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46099</v>
      </c>
      <c r="E55" s="1" t="n">
        <v>46322</v>
      </c>
      <c r="F55" t="inlineStr">
        <is>
          <t>BLEKINGE LÄN</t>
        </is>
      </c>
      <c r="G55" t="inlineStr">
        <is>
          <t>RONNEBY</t>
        </is>
      </c>
      <c r="I55" t="n">
        <v>21.9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Mindre hackspett</t>
        </is>
      </c>
      <c r="W55">
        <f>HYPERLINK("https://klasma.github.io/Logging_1081/artfynd/S 778-2026 artfynd.xlsx", "S 778-2026")</f>
        <v/>
      </c>
      <c r="X55">
        <f>HYPERLINK("https://klasma.github.io/Logging_1081/kartor/S 778-2026 karta.png", "S 778-2026")</f>
        <v/>
      </c>
      <c r="Y55">
        <f>HYPERLINK("https://klasma.github.io/Logging_1081/kartor_geotiff/S 778-2026 georefererad karta.tif", "S 778-2026")</f>
        <v/>
      </c>
      <c r="AA55">
        <f>HYPERLINK("https://klasma.github.io/Logging_1081/klagomål/S 778-2026 FSC-klagomål.docx", "S 778-2026")</f>
        <v/>
      </c>
      <c r="AB55">
        <f>HYPERLINK("https://klasma.github.io/Logging_1081/klagomålsmail/S 778-2026 FSC-klagomål mail.docx", "S 778-2026")</f>
        <v/>
      </c>
      <c r="AC55">
        <f>HYPERLINK("https://klasma.github.io/Logging_1081/tillsyn/S 778-2026 tillsynsbegäran.docx", "S 778-2026")</f>
        <v/>
      </c>
      <c r="AD55">
        <f>HYPERLINK("https://klasma.github.io/Logging_1081/tillsynsmail/S 778-2026 tillsynsbegäran mail.docx", "S 778-2026")</f>
        <v/>
      </c>
      <c r="AE55">
        <f>HYPERLINK("https://klasma.github.io/Logging_1081/fåglar/S 778-2026 prioriterade fågelarter.docx", "S 778-2026")</f>
        <v/>
      </c>
    </row>
    <row r="56" ht="15" customHeight="1">
      <c r="A56" t="inlineStr">
        <is>
          <t>S 1186-2026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46139</v>
      </c>
      <c r="E56" s="1" t="n">
        <v>46322</v>
      </c>
      <c r="F56" t="inlineStr">
        <is>
          <t>BLEKINGE LÄN</t>
        </is>
      </c>
      <c r="G56" t="inlineStr">
        <is>
          <t>RONNEBY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Grusnejlika</t>
        </is>
      </c>
      <c r="W56">
        <f>HYPERLINK("https://klasma.github.io/Logging_1081/artfynd/S 1186-2026 artfynd.xlsx", "S 1186-2026")</f>
        <v/>
      </c>
      <c r="X56">
        <f>HYPERLINK("https://klasma.github.io/Logging_1081/kartor/S 1186-2026 karta.png", "S 1186-2026")</f>
        <v/>
      </c>
      <c r="Y56">
        <f>HYPERLINK("https://klasma.github.io/Logging_1081/kartor_geotiff/S 1186-2026 georefererad karta.tif", "S 1186-2026")</f>
        <v/>
      </c>
      <c r="AA56">
        <f>HYPERLINK("https://klasma.github.io/Logging_1081/klagomål/S 1186-2026 FSC-klagomål.docx", "S 1186-2026")</f>
        <v/>
      </c>
      <c r="AB56">
        <f>HYPERLINK("https://klasma.github.io/Logging_1081/klagomålsmail/S 1186-2026 FSC-klagomål mail.docx", "S 1186-2026")</f>
        <v/>
      </c>
      <c r="AC56">
        <f>HYPERLINK("https://klasma.github.io/Logging_1081/tillsyn/S 1186-2026 tillsynsbegäran.docx", "S 1186-2026")</f>
        <v/>
      </c>
      <c r="AD56">
        <f>HYPERLINK("https://klasma.github.io/Logging_1081/tillsynsmail/S 1186-2026 tillsynsbegäran mail.docx", "S 1186-2026")</f>
        <v/>
      </c>
    </row>
    <row r="57" ht="15" customHeight="1">
      <c r="A57" t="inlineStr">
        <is>
          <t>A 72789-2021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44546</v>
      </c>
      <c r="E57" s="1" t="n">
        <v>46322</v>
      </c>
      <c r="F57" t="inlineStr">
        <is>
          <t>BLEKINGE LÄN</t>
        </is>
      </c>
      <c r="G57" t="inlineStr">
        <is>
          <t>RONNEBY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44825</v>
      </c>
      <c r="E58" s="1" t="n">
        <v>46322</v>
      </c>
      <c r="F58" t="inlineStr">
        <is>
          <t>BLEKINGE LÄN</t>
        </is>
      </c>
      <c r="G58" t="inlineStr">
        <is>
          <t>RONNEBY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46322</v>
      </c>
      <c r="F59" t="inlineStr">
        <is>
          <t>BLEKINGE LÄN</t>
        </is>
      </c>
      <c r="G59" t="inlineStr">
        <is>
          <t>RONNEBY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46322</v>
      </c>
      <c r="F60" t="inlineStr">
        <is>
          <t>BLEKINGE LÄN</t>
        </is>
      </c>
      <c r="G60" t="inlineStr">
        <is>
          <t>RONNEBY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46322</v>
      </c>
      <c r="F61" t="inlineStr">
        <is>
          <t>BLEKINGE LÄN</t>
        </is>
      </c>
      <c r="G61" t="inlineStr">
        <is>
          <t>RONNEBY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44880</v>
      </c>
      <c r="E62" s="1" t="n">
        <v>46322</v>
      </c>
      <c r="F62" t="inlineStr">
        <is>
          <t>BLEKINGE LÄN</t>
        </is>
      </c>
      <c r="G62" t="inlineStr">
        <is>
          <t>RONNEBY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44630</v>
      </c>
      <c r="E63" s="1" t="n">
        <v>46322</v>
      </c>
      <c r="F63" t="inlineStr">
        <is>
          <t>BLEKINGE LÄN</t>
        </is>
      </c>
      <c r="G63" t="inlineStr">
        <is>
          <t>RONNEBY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44676</v>
      </c>
      <c r="E64" s="1" t="n">
        <v>46322</v>
      </c>
      <c r="F64" t="inlineStr">
        <is>
          <t>BLEKINGE LÄN</t>
        </is>
      </c>
      <c r="G64" t="inlineStr">
        <is>
          <t>RONNEBY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46322</v>
      </c>
      <c r="F65" t="inlineStr">
        <is>
          <t>BLEKINGE LÄN</t>
        </is>
      </c>
      <c r="G65" t="inlineStr">
        <is>
          <t>RONNEBY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44504</v>
      </c>
      <c r="E66" s="1" t="n">
        <v>46322</v>
      </c>
      <c r="F66" t="inlineStr">
        <is>
          <t>BLEKINGE LÄN</t>
        </is>
      </c>
      <c r="G66" t="inlineStr">
        <is>
          <t>RONNEBY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46322</v>
      </c>
      <c r="F67" t="inlineStr">
        <is>
          <t>BLEKINGE LÄN</t>
        </is>
      </c>
      <c r="G67" t="inlineStr">
        <is>
          <t>RONNEBY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46322</v>
      </c>
      <c r="F68" t="inlineStr">
        <is>
          <t>BLEKINGE LÄN</t>
        </is>
      </c>
      <c r="G68" t="inlineStr">
        <is>
          <t>RONNEBY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44581</v>
      </c>
      <c r="E69" s="1" t="n">
        <v>46322</v>
      </c>
      <c r="F69" t="inlineStr">
        <is>
          <t>BLEKINGE LÄN</t>
        </is>
      </c>
      <c r="G69" t="inlineStr">
        <is>
          <t>RONNEBY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46322</v>
      </c>
      <c r="F70" t="inlineStr">
        <is>
          <t>BLEKINGE LÄN</t>
        </is>
      </c>
      <c r="G70" t="inlineStr">
        <is>
          <t>RONNEBY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46322</v>
      </c>
      <c r="F71" t="inlineStr">
        <is>
          <t>BLEKINGE LÄN</t>
        </is>
      </c>
      <c r="G71" t="inlineStr">
        <is>
          <t>RONNEBY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46322</v>
      </c>
      <c r="F72" t="inlineStr">
        <is>
          <t>BLEKINGE LÄN</t>
        </is>
      </c>
      <c r="G72" t="inlineStr">
        <is>
          <t>RONNEBY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44608</v>
      </c>
      <c r="E73" s="1" t="n">
        <v>46322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46322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46322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46322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46322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46322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46322</v>
      </c>
      <c r="F79" t="inlineStr">
        <is>
          <t>BLEKINGE LÄN</t>
        </is>
      </c>
      <c r="G79" t="inlineStr">
        <is>
          <t>RONNEBY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46322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46322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46322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46322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46322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46322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46322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46322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46322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46322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66288-2021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46322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46322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46322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46322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46322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46322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46322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46322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46322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46322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46322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46322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46322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46322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46322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46322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46322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46322</v>
      </c>
      <c r="F107" t="inlineStr">
        <is>
          <t>BLEKINGE LÄN</t>
        </is>
      </c>
      <c r="G107" t="inlineStr">
        <is>
          <t>RONNEBY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1909-2023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44939</v>
      </c>
      <c r="E108" s="1" t="n">
        <v>46322</v>
      </c>
      <c r="F108" t="inlineStr">
        <is>
          <t>BLEKINGE LÄN</t>
        </is>
      </c>
      <c r="G108" t="inlineStr">
        <is>
          <t>RONNEBY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45097</v>
      </c>
      <c r="E109" s="1" t="n">
        <v>46322</v>
      </c>
      <c r="F109" t="inlineStr">
        <is>
          <t>BLEKINGE LÄN</t>
        </is>
      </c>
      <c r="G109" t="inlineStr">
        <is>
          <t>RONNEBY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46322</v>
      </c>
      <c r="F110" t="inlineStr">
        <is>
          <t>BLEKINGE LÄN</t>
        </is>
      </c>
      <c r="G110" t="inlineStr">
        <is>
          <t>RONNEBY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46322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11331-2022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46322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45006</v>
      </c>
      <c r="E113" s="1" t="n">
        <v>46322</v>
      </c>
      <c r="F113" t="inlineStr">
        <is>
          <t>BLEKINGE LÄN</t>
        </is>
      </c>
      <c r="G113" t="inlineStr">
        <is>
          <t>RONNEBY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46322</v>
      </c>
      <c r="F114" t="inlineStr">
        <is>
          <t>BLEKINGE LÄN</t>
        </is>
      </c>
      <c r="G114" t="inlineStr">
        <is>
          <t>RONNEBY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46322</v>
      </c>
      <c r="F115" t="inlineStr">
        <is>
          <t>BLEKINGE LÄN</t>
        </is>
      </c>
      <c r="G115" t="inlineStr">
        <is>
          <t>RONNEBY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46322</v>
      </c>
      <c r="F116" t="inlineStr">
        <is>
          <t>BLEKINGE LÄN</t>
        </is>
      </c>
      <c r="G116" t="inlineStr">
        <is>
          <t>RONNEBY</t>
        </is>
      </c>
      <c r="H116" t="inlineStr">
        <is>
          <t>Övriga Aktiebolag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39062-2025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46322</v>
      </c>
      <c r="F117" t="inlineStr">
        <is>
          <t>BLEKINGE LÄN</t>
        </is>
      </c>
      <c r="G117" t="inlineStr">
        <is>
          <t>RONNEBY</t>
        </is>
      </c>
      <c r="H117" t="inlineStr">
        <is>
          <t>Övriga Aktiebolag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45706</v>
      </c>
      <c r="E118" s="1" t="n">
        <v>46322</v>
      </c>
      <c r="F118" t="inlineStr">
        <is>
          <t>BLEKINGE LÄN</t>
        </is>
      </c>
      <c r="G118" t="inlineStr">
        <is>
          <t>RONNEBY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46322</v>
      </c>
      <c r="F119" t="inlineStr">
        <is>
          <t>BLEKINGE LÄN</t>
        </is>
      </c>
      <c r="G119" t="inlineStr">
        <is>
          <t>RONNEBY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59007-2022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46322</v>
      </c>
      <c r="F120" t="inlineStr">
        <is>
          <t>BLEKINGE LÄN</t>
        </is>
      </c>
      <c r="G120" t="inlineStr">
        <is>
          <t>RONNEBY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46322</v>
      </c>
      <c r="F121" t="inlineStr">
        <is>
          <t>BLEKINGE LÄN</t>
        </is>
      </c>
      <c r="G121" t="inlineStr">
        <is>
          <t>RONNEBY</t>
        </is>
      </c>
      <c r="H121" t="inlineStr">
        <is>
          <t>Övriga Aktiebolag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45139</v>
      </c>
      <c r="E122" s="1" t="n">
        <v>46322</v>
      </c>
      <c r="F122" t="inlineStr">
        <is>
          <t>BLEKINGE LÄN</t>
        </is>
      </c>
      <c r="G122" t="inlineStr">
        <is>
          <t>RONNEBY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45892</v>
      </c>
      <c r="E123" s="1" t="n">
        <v>46322</v>
      </c>
      <c r="F123" t="inlineStr">
        <is>
          <t>BLEKINGE LÄN</t>
        </is>
      </c>
      <c r="G123" t="inlineStr">
        <is>
          <t>RONNEBY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46322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46322</v>
      </c>
      <c r="F125" t="inlineStr">
        <is>
          <t>BLEKINGE LÄN</t>
        </is>
      </c>
      <c r="G125" t="inlineStr">
        <is>
          <t>RONNEBY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46322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44819</v>
      </c>
      <c r="E127" s="1" t="n">
        <v>46322</v>
      </c>
      <c r="F127" t="inlineStr">
        <is>
          <t>BLEKINGE LÄN</t>
        </is>
      </c>
      <c r="G127" t="inlineStr">
        <is>
          <t>RONNEBY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15196-2022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44658</v>
      </c>
      <c r="E128" s="1" t="n">
        <v>46322</v>
      </c>
      <c r="F128" t="inlineStr">
        <is>
          <t>BLEKINGE LÄN</t>
        </is>
      </c>
      <c r="G128" t="inlineStr">
        <is>
          <t>RONNEBY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46322</v>
      </c>
      <c r="F129" t="inlineStr">
        <is>
          <t>BLEKINGE LÄN</t>
        </is>
      </c>
      <c r="G129" t="inlineStr">
        <is>
          <t>RONNEBY</t>
        </is>
      </c>
      <c r="H129" t="inlineStr">
        <is>
          <t>Övriga Aktiebolag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46322</v>
      </c>
      <c r="F130" t="inlineStr">
        <is>
          <t>BLEKINGE LÄN</t>
        </is>
      </c>
      <c r="G130" t="inlineStr">
        <is>
          <t>RONNEBY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26406-2025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45807</v>
      </c>
      <c r="E131" s="1" t="n">
        <v>46322</v>
      </c>
      <c r="F131" t="inlineStr">
        <is>
          <t>BLEKINGE LÄN</t>
        </is>
      </c>
      <c r="G131" t="inlineStr">
        <is>
          <t>RONNEBY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45545</v>
      </c>
      <c r="E132" s="1" t="n">
        <v>46322</v>
      </c>
      <c r="F132" t="inlineStr">
        <is>
          <t>BLEKINGE LÄN</t>
        </is>
      </c>
      <c r="G132" t="inlineStr">
        <is>
          <t>RONNEBY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32172-2023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46322</v>
      </c>
      <c r="F133" t="inlineStr">
        <is>
          <t>BLEKINGE LÄN</t>
        </is>
      </c>
      <c r="G133" t="inlineStr">
        <is>
          <t>RONNEBY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45121</v>
      </c>
      <c r="E134" s="1" t="n">
        <v>46322</v>
      </c>
      <c r="F134" t="inlineStr">
        <is>
          <t>BLEKINGE LÄN</t>
        </is>
      </c>
      <c r="G134" t="inlineStr">
        <is>
          <t>RONNEBY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46322</v>
      </c>
      <c r="F135" t="inlineStr">
        <is>
          <t>BLEKINGE LÄN</t>
        </is>
      </c>
      <c r="G135" t="inlineStr">
        <is>
          <t>RONNEBY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59006-2022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46322</v>
      </c>
      <c r="F136" t="inlineStr">
        <is>
          <t>BLEKINGE LÄN</t>
        </is>
      </c>
      <c r="G136" t="inlineStr">
        <is>
          <t>RONNEBY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46322</v>
      </c>
      <c r="F137" t="inlineStr">
        <is>
          <t>BLEKINGE LÄN</t>
        </is>
      </c>
      <c r="G137" t="inlineStr">
        <is>
          <t>RONNEBY</t>
        </is>
      </c>
      <c r="I137" t="n">
        <v>9.199999999999999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46883-2023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45201</v>
      </c>
      <c r="E138" s="1" t="n">
        <v>46322</v>
      </c>
      <c r="F138" t="inlineStr">
        <is>
          <t>BLEKINGE LÄN</t>
        </is>
      </c>
      <c r="G138" t="inlineStr">
        <is>
          <t>RONNEBY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46322</v>
      </c>
      <c r="F139" t="inlineStr">
        <is>
          <t>BLEKINGE LÄN</t>
        </is>
      </c>
      <c r="G139" t="inlineStr">
        <is>
          <t>RONNEBY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44992</v>
      </c>
      <c r="E140" s="1" t="n">
        <v>46322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46322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46322</v>
      </c>
      <c r="F142" t="inlineStr">
        <is>
          <t>BLEKINGE LÄN</t>
        </is>
      </c>
      <c r="G142" t="inlineStr">
        <is>
          <t>RONNEBY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45843</v>
      </c>
      <c r="E143" s="1" t="n">
        <v>46322</v>
      </c>
      <c r="F143" t="inlineStr">
        <is>
          <t>BLEKINGE LÄN</t>
        </is>
      </c>
      <c r="G143" t="inlineStr">
        <is>
          <t>RONNEBY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45807</v>
      </c>
      <c r="E144" s="1" t="n">
        <v>46322</v>
      </c>
      <c r="F144" t="inlineStr">
        <is>
          <t>BLEKINGE LÄN</t>
        </is>
      </c>
      <c r="G144" t="inlineStr">
        <is>
          <t>RONNEBY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44748</v>
      </c>
      <c r="E145" s="1" t="n">
        <v>46322</v>
      </c>
      <c r="F145" t="inlineStr">
        <is>
          <t>BLEKINGE LÄN</t>
        </is>
      </c>
      <c r="G145" t="inlineStr">
        <is>
          <t>RONNEBY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45910</v>
      </c>
      <c r="E146" s="1" t="n">
        <v>46322</v>
      </c>
      <c r="F146" t="inlineStr">
        <is>
          <t>BLEKINGE LÄN</t>
        </is>
      </c>
      <c r="G146" t="inlineStr">
        <is>
          <t>RONNEBY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43291-2025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45910</v>
      </c>
      <c r="E147" s="1" t="n">
        <v>46322</v>
      </c>
      <c r="F147" t="inlineStr">
        <is>
          <t>BLEKINGE LÄN</t>
        </is>
      </c>
      <c r="G147" t="inlineStr">
        <is>
          <t>RONNEBY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45078</v>
      </c>
      <c r="E148" s="1" t="n">
        <v>46322</v>
      </c>
      <c r="F148" t="inlineStr">
        <is>
          <t>BLEKINGE LÄN</t>
        </is>
      </c>
      <c r="G148" t="inlineStr">
        <is>
          <t>RONNEBY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45915</v>
      </c>
      <c r="E149" s="1" t="n">
        <v>46322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45915</v>
      </c>
      <c r="E150" s="1" t="n">
        <v>46322</v>
      </c>
      <c r="F150" t="inlineStr">
        <is>
          <t>BLEKINGE LÄN</t>
        </is>
      </c>
      <c r="G150" t="inlineStr">
        <is>
          <t>RONNEBY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46322</v>
      </c>
      <c r="F151" t="inlineStr">
        <is>
          <t>BLEKINGE LÄN</t>
        </is>
      </c>
      <c r="G151" t="inlineStr">
        <is>
          <t>RONNEBY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44231-2025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45915</v>
      </c>
      <c r="E152" s="1" t="n">
        <v>46322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Aktiebolag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46322</v>
      </c>
      <c r="F153" t="inlineStr">
        <is>
          <t>BLEKINGE LÄN</t>
        </is>
      </c>
      <c r="G153" t="inlineStr">
        <is>
          <t>RONNEBY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46322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44213-2025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45915</v>
      </c>
      <c r="E155" s="1" t="n">
        <v>46322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46322</v>
      </c>
      <c r="F156" t="inlineStr">
        <is>
          <t>BLEKINGE LÄN</t>
        </is>
      </c>
      <c r="G156" t="inlineStr">
        <is>
          <t>RONNEBY</t>
        </is>
      </c>
      <c r="H156" t="inlineStr">
        <is>
          <t>Övriga Aktiebolag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44980</v>
      </c>
      <c r="E157" s="1" t="n">
        <v>46322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Aktiebolag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46322</v>
      </c>
      <c r="F158" t="inlineStr">
        <is>
          <t>BLEKINGE LÄN</t>
        </is>
      </c>
      <c r="G158" t="inlineStr">
        <is>
          <t>RONNEBY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45918</v>
      </c>
      <c r="E159" s="1" t="n">
        <v>46322</v>
      </c>
      <c r="F159" t="inlineStr">
        <is>
          <t>BLEKINGE LÄN</t>
        </is>
      </c>
      <c r="G159" t="inlineStr">
        <is>
          <t>RONNEBY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22490-2023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46322</v>
      </c>
      <c r="F160" t="inlineStr">
        <is>
          <t>BLEKINGE LÄN</t>
        </is>
      </c>
      <c r="G160" t="inlineStr">
        <is>
          <t>RONNEBY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46322</v>
      </c>
      <c r="F161" t="inlineStr">
        <is>
          <t>BLEKINGE LÄN</t>
        </is>
      </c>
      <c r="G161" t="inlineStr">
        <is>
          <t>RONNEBY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46322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44987</v>
      </c>
      <c r="E163" s="1" t="n">
        <v>46322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9685-2022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44617</v>
      </c>
      <c r="E164" s="1" t="n">
        <v>46322</v>
      </c>
      <c r="F164" t="inlineStr">
        <is>
          <t>BLEKINGE LÄN</t>
        </is>
      </c>
      <c r="G164" t="inlineStr">
        <is>
          <t>RONNEBY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44950</v>
      </c>
      <c r="E165" s="1" t="n">
        <v>46322</v>
      </c>
      <c r="F165" t="inlineStr">
        <is>
          <t>BLEKINGE LÄN</t>
        </is>
      </c>
      <c r="G165" t="inlineStr">
        <is>
          <t>RONNEBY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45722</v>
      </c>
      <c r="E166" s="1" t="n">
        <v>46322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46322</v>
      </c>
      <c r="F167" t="inlineStr">
        <is>
          <t>BLEKINGE LÄN</t>
        </is>
      </c>
      <c r="G167" t="inlineStr">
        <is>
          <t>RONNEBY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46322</v>
      </c>
      <c r="F168" t="inlineStr">
        <is>
          <t>BLEKINGE LÄN</t>
        </is>
      </c>
      <c r="G168" t="inlineStr">
        <is>
          <t>RONNEBY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46322</v>
      </c>
      <c r="F169" t="inlineStr">
        <is>
          <t>BLEKINGE LÄN</t>
        </is>
      </c>
      <c r="G169" t="inlineStr">
        <is>
          <t>RONNEBY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45706</v>
      </c>
      <c r="E170" s="1" t="n">
        <v>46322</v>
      </c>
      <c r="F170" t="inlineStr">
        <is>
          <t>BLEKINGE LÄN</t>
        </is>
      </c>
      <c r="G170" t="inlineStr">
        <is>
          <t>RONNEBY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46322</v>
      </c>
      <c r="F171" t="inlineStr">
        <is>
          <t>BLEKINGE LÄN</t>
        </is>
      </c>
      <c r="G171" t="inlineStr">
        <is>
          <t>RONNEBY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45341</v>
      </c>
      <c r="E172" s="1" t="n">
        <v>46322</v>
      </c>
      <c r="F172" t="inlineStr">
        <is>
          <t>BLEKINGE LÄN</t>
        </is>
      </c>
      <c r="G172" t="inlineStr">
        <is>
          <t>RONNEBY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46322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10496-2023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46322</v>
      </c>
      <c r="F174" t="inlineStr">
        <is>
          <t>BLEKINGE LÄN</t>
        </is>
      </c>
      <c r="G174" t="inlineStr">
        <is>
          <t>RONNEBY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46322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41665-2024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45560</v>
      </c>
      <c r="E176" s="1" t="n">
        <v>46322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45328</v>
      </c>
      <c r="E177" s="1" t="n">
        <v>46322</v>
      </c>
      <c r="F177" t="inlineStr">
        <is>
          <t>BLEKINGE LÄN</t>
        </is>
      </c>
      <c r="G177" t="inlineStr">
        <is>
          <t>RONNEBY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45588</v>
      </c>
      <c r="E178" s="1" t="n">
        <v>46322</v>
      </c>
      <c r="F178" t="inlineStr">
        <is>
          <t>BLEKINGE LÄN</t>
        </is>
      </c>
      <c r="G178" t="inlineStr">
        <is>
          <t>RONNEBY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46322</v>
      </c>
      <c r="F179" t="inlineStr">
        <is>
          <t>BLEKINGE LÄN</t>
        </is>
      </c>
      <c r="G179" t="inlineStr">
        <is>
          <t>RONNEBY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46322</v>
      </c>
      <c r="F180" t="inlineStr">
        <is>
          <t>BLEKINGE LÄN</t>
        </is>
      </c>
      <c r="G180" t="inlineStr">
        <is>
          <t>RONNEBY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46322</v>
      </c>
      <c r="F181" t="inlineStr">
        <is>
          <t>BLEKINGE LÄN</t>
        </is>
      </c>
      <c r="G181" t="inlineStr">
        <is>
          <t>RONNEBY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46322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46322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46322</v>
      </c>
      <c r="F184" t="inlineStr">
        <is>
          <t>BLEKINGE LÄN</t>
        </is>
      </c>
      <c r="G184" t="inlineStr">
        <is>
          <t>RONNEBY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45932</v>
      </c>
      <c r="E185" s="1" t="n">
        <v>46322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46322</v>
      </c>
      <c r="F186" t="inlineStr">
        <is>
          <t>BLEKINGE LÄN</t>
        </is>
      </c>
      <c r="G186" t="inlineStr">
        <is>
          <t>RONNEBY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50201-2024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46322</v>
      </c>
      <c r="F187" t="inlineStr">
        <is>
          <t>BLEKINGE LÄN</t>
        </is>
      </c>
      <c r="G187" t="inlineStr">
        <is>
          <t>RONNEBY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45057</v>
      </c>
      <c r="E188" s="1" t="n">
        <v>46322</v>
      </c>
      <c r="F188" t="inlineStr">
        <is>
          <t>BLEKINGE LÄN</t>
        </is>
      </c>
      <c r="G188" t="inlineStr">
        <is>
          <t>RONNEBY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46322</v>
      </c>
      <c r="F189" t="inlineStr">
        <is>
          <t>BLEKINGE LÄN</t>
        </is>
      </c>
      <c r="G189" t="inlineStr">
        <is>
          <t>RONNEBY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46322</v>
      </c>
      <c r="F190" t="inlineStr">
        <is>
          <t>BLEKINGE LÄN</t>
        </is>
      </c>
      <c r="G190" t="inlineStr">
        <is>
          <t>RONNEBY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45937</v>
      </c>
      <c r="E191" s="1" t="n">
        <v>46322</v>
      </c>
      <c r="F191" t="inlineStr">
        <is>
          <t>BLEKINGE LÄN</t>
        </is>
      </c>
      <c r="G191" t="inlineStr">
        <is>
          <t>RONNEBY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46322</v>
      </c>
      <c r="F192" t="inlineStr">
        <is>
          <t>BLEKINGE LÄN</t>
        </is>
      </c>
      <c r="G192" t="inlineStr">
        <is>
          <t>RONNEBY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46322</v>
      </c>
      <c r="F193" t="inlineStr">
        <is>
          <t>BLEKINGE LÄN</t>
        </is>
      </c>
      <c r="G193" t="inlineStr">
        <is>
          <t>RONNEBY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44902</v>
      </c>
      <c r="E194" s="1" t="n">
        <v>46322</v>
      </c>
      <c r="F194" t="inlineStr">
        <is>
          <t>BLEKINGE LÄN</t>
        </is>
      </c>
      <c r="G194" t="inlineStr">
        <is>
          <t>RONNEBY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45238</v>
      </c>
      <c r="E195" s="1" t="n">
        <v>46322</v>
      </c>
      <c r="F195" t="inlineStr">
        <is>
          <t>BLEKINGE LÄN</t>
        </is>
      </c>
      <c r="G195" t="inlineStr">
        <is>
          <t>RONNEBY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45098</v>
      </c>
      <c r="E196" s="1" t="n">
        <v>46322</v>
      </c>
      <c r="F196" t="inlineStr">
        <is>
          <t>BLEKINGE LÄN</t>
        </is>
      </c>
      <c r="G196" t="inlineStr">
        <is>
          <t>RONNEBY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45128</v>
      </c>
      <c r="E197" s="1" t="n">
        <v>46322</v>
      </c>
      <c r="F197" t="inlineStr">
        <is>
          <t>BLEKINGE LÄN</t>
        </is>
      </c>
      <c r="G197" t="inlineStr">
        <is>
          <t>RONNEBY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45363</v>
      </c>
      <c r="E198" s="1" t="n">
        <v>46322</v>
      </c>
      <c r="F198" t="inlineStr">
        <is>
          <t>BLEKINGE LÄN</t>
        </is>
      </c>
      <c r="G198" t="inlineStr">
        <is>
          <t>RONNEBY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46322</v>
      </c>
      <c r="F199" t="inlineStr">
        <is>
          <t>BLEKINGE LÄN</t>
        </is>
      </c>
      <c r="G199" t="inlineStr">
        <is>
          <t>RONNEBY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46322</v>
      </c>
      <c r="F200" t="inlineStr">
        <is>
          <t>BLEKINGE LÄN</t>
        </is>
      </c>
      <c r="G200" t="inlineStr">
        <is>
          <t>RONNEBY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45482</v>
      </c>
      <c r="E201" s="1" t="n">
        <v>46322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46322</v>
      </c>
      <c r="F202" t="inlineStr">
        <is>
          <t>BLEKINGE LÄN</t>
        </is>
      </c>
      <c r="G202" t="inlineStr">
        <is>
          <t>RONNEBY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46322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46322</v>
      </c>
      <c r="F204" t="inlineStr">
        <is>
          <t>BLEKINGE LÄN</t>
        </is>
      </c>
      <c r="G204" t="inlineStr">
        <is>
          <t>RONNEBY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46322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45545</v>
      </c>
      <c r="E206" s="1" t="n">
        <v>46322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46322</v>
      </c>
      <c r="F207" t="inlineStr">
        <is>
          <t>BLEKINGE LÄN</t>
        </is>
      </c>
      <c r="G207" t="inlineStr">
        <is>
          <t>RONNEBY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46322</v>
      </c>
      <c r="F208" t="inlineStr">
        <is>
          <t>BLEKINGE LÄN</t>
        </is>
      </c>
      <c r="G208" t="inlineStr">
        <is>
          <t>RONNEBY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46322</v>
      </c>
      <c r="F209" t="inlineStr">
        <is>
          <t>BLEKINGE LÄN</t>
        </is>
      </c>
      <c r="G209" t="inlineStr">
        <is>
          <t>RONNEBY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46322</v>
      </c>
      <c r="F210" t="inlineStr">
        <is>
          <t>BLEKINGE LÄN</t>
        </is>
      </c>
      <c r="G210" t="inlineStr">
        <is>
          <t>RONNEBY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19610-2024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46322</v>
      </c>
      <c r="F211" t="inlineStr">
        <is>
          <t>BLEKINGE LÄN</t>
        </is>
      </c>
      <c r="G211" t="inlineStr">
        <is>
          <t>RONNEBY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52881-2025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46322</v>
      </c>
      <c r="F212" t="inlineStr">
        <is>
          <t>BLEKINGE LÄN</t>
        </is>
      </c>
      <c r="G212" t="inlineStr">
        <is>
          <t>RONNEBY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45104</v>
      </c>
      <c r="E213" s="1" t="n">
        <v>46322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45104</v>
      </c>
      <c r="E214" s="1" t="n">
        <v>46322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46322</v>
      </c>
      <c r="F215" t="inlineStr">
        <is>
          <t>BLEKINGE LÄN</t>
        </is>
      </c>
      <c r="G215" t="inlineStr">
        <is>
          <t>RONNEBY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45527</v>
      </c>
      <c r="E216" s="1" t="n">
        <v>46322</v>
      </c>
      <c r="F216" t="inlineStr">
        <is>
          <t>BLEKINGE LÄN</t>
        </is>
      </c>
      <c r="G216" t="inlineStr">
        <is>
          <t>RONNEBY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46322</v>
      </c>
      <c r="F217" t="inlineStr">
        <is>
          <t>BLEKINGE LÄN</t>
        </is>
      </c>
      <c r="G217" t="inlineStr">
        <is>
          <t>RONNEBY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41421-2024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45560</v>
      </c>
      <c r="E218" s="1" t="n">
        <v>46322</v>
      </c>
      <c r="F218" t="inlineStr">
        <is>
          <t>BLEKINGE LÄN</t>
        </is>
      </c>
      <c r="G218" t="inlineStr">
        <is>
          <t>RONNEBY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45691</v>
      </c>
      <c r="E219" s="1" t="n">
        <v>46322</v>
      </c>
      <c r="F219" t="inlineStr">
        <is>
          <t>BLEKINGE LÄN</t>
        </is>
      </c>
      <c r="G219" t="inlineStr">
        <is>
          <t>RONNEBY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45394</v>
      </c>
      <c r="E220" s="1" t="n">
        <v>46322</v>
      </c>
      <c r="F220" t="inlineStr">
        <is>
          <t>BLEKINGE LÄN</t>
        </is>
      </c>
      <c r="G220" t="inlineStr">
        <is>
          <t>RONNEBY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46322</v>
      </c>
      <c r="F221" t="inlineStr">
        <is>
          <t>BLEKINGE LÄN</t>
        </is>
      </c>
      <c r="G221" t="inlineStr">
        <is>
          <t>RONNEBY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41076-2023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45169</v>
      </c>
      <c r="E222" s="1" t="n">
        <v>46322</v>
      </c>
      <c r="F222" t="inlineStr">
        <is>
          <t>BLEKINGE LÄN</t>
        </is>
      </c>
      <c r="G222" t="inlineStr">
        <is>
          <t>RONNEBY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46322</v>
      </c>
      <c r="F223" t="inlineStr">
        <is>
          <t>BLEKINGE LÄN</t>
        </is>
      </c>
      <c r="G223" t="inlineStr">
        <is>
          <t>RONNEBY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29077-2023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45104</v>
      </c>
      <c r="E224" s="1" t="n">
        <v>46322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45502</v>
      </c>
      <c r="E225" s="1" t="n">
        <v>46322</v>
      </c>
      <c r="F225" t="inlineStr">
        <is>
          <t>BLEKINGE LÄN</t>
        </is>
      </c>
      <c r="G225" t="inlineStr">
        <is>
          <t>RONNEBY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46914-2023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46322</v>
      </c>
      <c r="F226" t="inlineStr">
        <is>
          <t>BLEKINGE LÄN</t>
        </is>
      </c>
      <c r="G226" t="inlineStr">
        <is>
          <t>RONNEBY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45201</v>
      </c>
      <c r="E227" s="1" t="n">
        <v>46322</v>
      </c>
      <c r="F227" t="inlineStr">
        <is>
          <t>BLEKINGE LÄN</t>
        </is>
      </c>
      <c r="G227" t="inlineStr">
        <is>
          <t>RONNEBY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31501-2023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45115</v>
      </c>
      <c r="E228" s="1" t="n">
        <v>46322</v>
      </c>
      <c r="F228" t="inlineStr">
        <is>
          <t>BLEKINGE LÄN</t>
        </is>
      </c>
      <c r="G228" t="inlineStr">
        <is>
          <t>RONNEBY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59676-2022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44908</v>
      </c>
      <c r="E229" s="1" t="n">
        <v>46322</v>
      </c>
      <c r="F229" t="inlineStr">
        <is>
          <t>BLEKINGE LÄN</t>
        </is>
      </c>
      <c r="G229" t="inlineStr">
        <is>
          <t>RONNEBY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45785</v>
      </c>
      <c r="E230" s="1" t="n">
        <v>46322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46322</v>
      </c>
      <c r="F231" t="inlineStr">
        <is>
          <t>BLEKINGE LÄN</t>
        </is>
      </c>
      <c r="G231" t="inlineStr">
        <is>
          <t>RONNEBY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34884-2024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46322</v>
      </c>
      <c r="F232" t="inlineStr">
        <is>
          <t>BLEKINGE LÄN</t>
        </is>
      </c>
      <c r="G232" t="inlineStr">
        <is>
          <t>RONNEBY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45546</v>
      </c>
      <c r="E233" s="1" t="n">
        <v>46322</v>
      </c>
      <c r="F233" t="inlineStr">
        <is>
          <t>BLEKINGE LÄN</t>
        </is>
      </c>
      <c r="G233" t="inlineStr">
        <is>
          <t>RONNEBY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45724</v>
      </c>
      <c r="E234" s="1" t="n">
        <v>46322</v>
      </c>
      <c r="F234" t="inlineStr">
        <is>
          <t>BLEKINGE LÄN</t>
        </is>
      </c>
      <c r="G234" t="inlineStr">
        <is>
          <t>RONNEBY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45642-2024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45579</v>
      </c>
      <c r="E235" s="1" t="n">
        <v>46322</v>
      </c>
      <c r="F235" t="inlineStr">
        <is>
          <t>BLEKINGE LÄN</t>
        </is>
      </c>
      <c r="G235" t="inlineStr">
        <is>
          <t>RONNEBY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46322</v>
      </c>
      <c r="F236" t="inlineStr">
        <is>
          <t>BLEKINGE LÄN</t>
        </is>
      </c>
      <c r="G236" t="inlineStr">
        <is>
          <t>RONNEBY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45530</v>
      </c>
      <c r="E237" s="1" t="n">
        <v>46322</v>
      </c>
      <c r="F237" t="inlineStr">
        <is>
          <t>BLEKINGE LÄN</t>
        </is>
      </c>
      <c r="G237" t="inlineStr">
        <is>
          <t>RONNEBY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46322</v>
      </c>
      <c r="F238" t="inlineStr">
        <is>
          <t>BLEKINGE LÄN</t>
        </is>
      </c>
      <c r="G238" t="inlineStr">
        <is>
          <t>RONNEBY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46322</v>
      </c>
      <c r="F239" t="inlineStr">
        <is>
          <t>BLEKINGE LÄN</t>
        </is>
      </c>
      <c r="G239" t="inlineStr">
        <is>
          <t>RONNEBY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14694-2023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45012</v>
      </c>
      <c r="E240" s="1" t="n">
        <v>46322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statliga verk och myndigheter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45551</v>
      </c>
      <c r="E241" s="1" t="n">
        <v>46322</v>
      </c>
      <c r="F241" t="inlineStr">
        <is>
          <t>BLEKINGE LÄN</t>
        </is>
      </c>
      <c r="G241" t="inlineStr">
        <is>
          <t>RONNEBY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46322</v>
      </c>
      <c r="F242" t="inlineStr">
        <is>
          <t>BLEKINGE LÄN</t>
        </is>
      </c>
      <c r="G242" t="inlineStr">
        <is>
          <t>RONNEBY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46322</v>
      </c>
      <c r="F243" t="inlineStr">
        <is>
          <t>BLEKINGE LÄN</t>
        </is>
      </c>
      <c r="G243" t="inlineStr">
        <is>
          <t>RONNEBY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46322</v>
      </c>
      <c r="F244" t="inlineStr">
        <is>
          <t>BLEKINGE LÄN</t>
        </is>
      </c>
      <c r="G244" t="inlineStr">
        <is>
          <t>RONNEBY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46322</v>
      </c>
      <c r="F245" t="inlineStr">
        <is>
          <t>BLEKINGE LÄN</t>
        </is>
      </c>
      <c r="G245" t="inlineStr">
        <is>
          <t>RONNEBY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35589-2023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46322</v>
      </c>
      <c r="F246" t="inlineStr">
        <is>
          <t>BLEKINGE LÄN</t>
        </is>
      </c>
      <c r="G246" t="inlineStr">
        <is>
          <t>RONNEBY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53817-2022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46322</v>
      </c>
      <c r="F247" t="inlineStr">
        <is>
          <t>BLEKINGE LÄN</t>
        </is>
      </c>
      <c r="G247" t="inlineStr">
        <is>
          <t>RONNEBY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46322</v>
      </c>
      <c r="F248" t="inlineStr">
        <is>
          <t>BLEKINGE LÄN</t>
        </is>
      </c>
      <c r="G248" t="inlineStr">
        <is>
          <t>RONNEBY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46322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40300-2022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44822</v>
      </c>
      <c r="E250" s="1" t="n">
        <v>46322</v>
      </c>
      <c r="F250" t="inlineStr">
        <is>
          <t>BLEKINGE LÄN</t>
        </is>
      </c>
      <c r="G250" t="inlineStr">
        <is>
          <t>RONNEBY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46322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18746-2024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45426</v>
      </c>
      <c r="E252" s="1" t="n">
        <v>46322</v>
      </c>
      <c r="F252" t="inlineStr">
        <is>
          <t>BLEKINGE LÄN</t>
        </is>
      </c>
      <c r="G252" t="inlineStr">
        <is>
          <t>RONNEBY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58648-2025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45986</v>
      </c>
      <c r="E253" s="1" t="n">
        <v>46322</v>
      </c>
      <c r="F253" t="inlineStr">
        <is>
          <t>BLEKINGE LÄN</t>
        </is>
      </c>
      <c r="G253" t="inlineStr">
        <is>
          <t>RONNEBY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45986</v>
      </c>
      <c r="E254" s="1" t="n">
        <v>46322</v>
      </c>
      <c r="F254" t="inlineStr">
        <is>
          <t>BLEKINGE LÄN</t>
        </is>
      </c>
      <c r="G254" t="inlineStr">
        <is>
          <t>RONNEBY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46322</v>
      </c>
      <c r="F255" t="inlineStr">
        <is>
          <t>BLEKINGE LÄN</t>
        </is>
      </c>
      <c r="G255" t="inlineStr">
        <is>
          <t>RONNEBY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46322</v>
      </c>
      <c r="F256" t="inlineStr">
        <is>
          <t>BLEKINGE LÄN</t>
        </is>
      </c>
      <c r="G256" t="inlineStr">
        <is>
          <t>RONNEBY</t>
        </is>
      </c>
      <c r="I256" t="n">
        <v>14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46322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46322</v>
      </c>
      <c r="F258" t="inlineStr">
        <is>
          <t>BLEKINGE LÄN</t>
        </is>
      </c>
      <c r="G258" t="inlineStr">
        <is>
          <t>RONNEBY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46322</v>
      </c>
      <c r="F259" t="inlineStr">
        <is>
          <t>BLEKINGE LÄN</t>
        </is>
      </c>
      <c r="G259" t="inlineStr">
        <is>
          <t>RONNEBY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45921</v>
      </c>
      <c r="E260" s="1" t="n">
        <v>46322</v>
      </c>
      <c r="F260" t="inlineStr">
        <is>
          <t>BLEKINGE LÄN</t>
        </is>
      </c>
      <c r="G260" t="inlineStr">
        <is>
          <t>RONNEBY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49939-2024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45597</v>
      </c>
      <c r="E261" s="1" t="n">
        <v>46322</v>
      </c>
      <c r="F261" t="inlineStr">
        <is>
          <t>BLEKINGE LÄN</t>
        </is>
      </c>
      <c r="G261" t="inlineStr">
        <is>
          <t>RONNEBY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46322</v>
      </c>
      <c r="F262" t="inlineStr">
        <is>
          <t>BLEKINGE LÄN</t>
        </is>
      </c>
      <c r="G262" t="inlineStr">
        <is>
          <t>RONNEBY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46322</v>
      </c>
      <c r="F263" t="inlineStr">
        <is>
          <t>BLEKINGE LÄN</t>
        </is>
      </c>
      <c r="G263" t="inlineStr">
        <is>
          <t>RONNEBY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46322</v>
      </c>
      <c r="F264" t="inlineStr">
        <is>
          <t>BLEKINGE LÄN</t>
        </is>
      </c>
      <c r="G264" t="inlineStr">
        <is>
          <t>RONNEBY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45247</v>
      </c>
      <c r="E265" s="1" t="n">
        <v>46322</v>
      </c>
      <c r="F265" t="inlineStr">
        <is>
          <t>BLEKINGE LÄN</t>
        </is>
      </c>
      <c r="G265" t="inlineStr">
        <is>
          <t>RONNEBY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45644-2024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45579</v>
      </c>
      <c r="E266" s="1" t="n">
        <v>46322</v>
      </c>
      <c r="F266" t="inlineStr">
        <is>
          <t>BLEKINGE LÄN</t>
        </is>
      </c>
      <c r="G266" t="inlineStr">
        <is>
          <t>RONNEBY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30197-2024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45490</v>
      </c>
      <c r="E267" s="1" t="n">
        <v>46322</v>
      </c>
      <c r="F267" t="inlineStr">
        <is>
          <t>BLEKINGE LÄN</t>
        </is>
      </c>
      <c r="G267" t="inlineStr">
        <is>
          <t>RONNEBY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21111-2024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46322</v>
      </c>
      <c r="F268" t="inlineStr">
        <is>
          <t>BLEKINGE LÄN</t>
        </is>
      </c>
      <c r="G268" t="inlineStr">
        <is>
          <t>RONNEBY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46322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45785</v>
      </c>
      <c r="E270" s="1" t="n">
        <v>46322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45299</v>
      </c>
      <c r="E271" s="1" t="n">
        <v>46322</v>
      </c>
      <c r="F271" t="inlineStr">
        <is>
          <t>BLEKINGE LÄN</t>
        </is>
      </c>
      <c r="G271" t="inlineStr">
        <is>
          <t>RONNEBY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29551-2022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44754</v>
      </c>
      <c r="E272" s="1" t="n">
        <v>46322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41054-2023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45169</v>
      </c>
      <c r="E273" s="1" t="n">
        <v>46322</v>
      </c>
      <c r="F273" t="inlineStr">
        <is>
          <t>BLEKINGE LÄN</t>
        </is>
      </c>
      <c r="G273" t="inlineStr">
        <is>
          <t>RONNEBY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44884</v>
      </c>
      <c r="E274" s="1" t="n">
        <v>46322</v>
      </c>
      <c r="F274" t="inlineStr">
        <is>
          <t>BLEKINGE LÄN</t>
        </is>
      </c>
      <c r="G274" t="inlineStr">
        <is>
          <t>RONNEBY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28732-2026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46198</v>
      </c>
      <c r="E275" s="1" t="n">
        <v>46322</v>
      </c>
      <c r="F275" t="inlineStr">
        <is>
          <t>BLEKINGE LÄN</t>
        </is>
      </c>
      <c r="G275" t="inlineStr">
        <is>
          <t>RONNEBY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46322</v>
      </c>
      <c r="F276" t="inlineStr">
        <is>
          <t>BLEKINGE LÄN</t>
        </is>
      </c>
      <c r="G276" t="inlineStr">
        <is>
          <t>RONNEBY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45043</v>
      </c>
      <c r="E277" s="1" t="n">
        <v>46322</v>
      </c>
      <c r="F277" t="inlineStr">
        <is>
          <t>BLEKINGE LÄN</t>
        </is>
      </c>
      <c r="G277" t="inlineStr">
        <is>
          <t>RONNEBY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62427-2025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46007</v>
      </c>
      <c r="E278" s="1" t="n">
        <v>46322</v>
      </c>
      <c r="F278" t="inlineStr">
        <is>
          <t>BLEKINGE LÄN</t>
        </is>
      </c>
      <c r="G278" t="inlineStr">
        <is>
          <t>RONNEBY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62465-2025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46007</v>
      </c>
      <c r="E279" s="1" t="n">
        <v>46322</v>
      </c>
      <c r="F279" t="inlineStr">
        <is>
          <t>BLEKINGE LÄN</t>
        </is>
      </c>
      <c r="G279" t="inlineStr">
        <is>
          <t>RONNEBY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45402</v>
      </c>
      <c r="E280" s="1" t="n">
        <v>46322</v>
      </c>
      <c r="F280" t="inlineStr">
        <is>
          <t>BLEKINGE LÄN</t>
        </is>
      </c>
      <c r="G280" t="inlineStr">
        <is>
          <t>RONNEBY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6289-2022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44600</v>
      </c>
      <c r="E281" s="1" t="n">
        <v>46322</v>
      </c>
      <c r="F281" t="inlineStr">
        <is>
          <t>BLEKINGE LÄN</t>
        </is>
      </c>
      <c r="G281" t="inlineStr">
        <is>
          <t>RONNEBY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17193-2024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45413</v>
      </c>
      <c r="E282" s="1" t="n">
        <v>46322</v>
      </c>
      <c r="F282" t="inlineStr">
        <is>
          <t>BLEKINGE LÄN</t>
        </is>
      </c>
      <c r="G282" t="inlineStr">
        <is>
          <t>RONNEBY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46322</v>
      </c>
      <c r="F283" t="inlineStr">
        <is>
          <t>BLEKINGE LÄN</t>
        </is>
      </c>
      <c r="G283" t="inlineStr">
        <is>
          <t>RONNEBY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45827</v>
      </c>
      <c r="E284" s="1" t="n">
        <v>46322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46322</v>
      </c>
      <c r="F285" t="inlineStr">
        <is>
          <t>BLEKINGE LÄN</t>
        </is>
      </c>
      <c r="G285" t="inlineStr">
        <is>
          <t>RONNEBY</t>
        </is>
      </c>
      <c r="I285" t="n">
        <v>14.4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30398-2025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45827</v>
      </c>
      <c r="E286" s="1" t="n">
        <v>46322</v>
      </c>
      <c r="F286" t="inlineStr">
        <is>
          <t>BLEKINGE LÄN</t>
        </is>
      </c>
      <c r="G286" t="inlineStr">
        <is>
          <t>RONNEBY</t>
        </is>
      </c>
      <c r="H286" t="inlineStr">
        <is>
          <t>Övriga Aktiebolag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45006</v>
      </c>
      <c r="E287" s="1" t="n">
        <v>46322</v>
      </c>
      <c r="F287" t="inlineStr">
        <is>
          <t>BLEKINGE LÄN</t>
        </is>
      </c>
      <c r="G287" t="inlineStr">
        <is>
          <t>RONNEBY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46322</v>
      </c>
      <c r="F288" t="inlineStr">
        <is>
          <t>BLEKINGE LÄN</t>
        </is>
      </c>
      <c r="G288" t="inlineStr">
        <is>
          <t>RONNEBY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46322</v>
      </c>
      <c r="F289" t="inlineStr">
        <is>
          <t>BLEKINGE LÄN</t>
        </is>
      </c>
      <c r="G289" t="inlineStr">
        <is>
          <t>RONNEBY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9953-2025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46322</v>
      </c>
      <c r="F290" t="inlineStr">
        <is>
          <t>BLEKINGE LÄN</t>
        </is>
      </c>
      <c r="G290" t="inlineStr">
        <is>
          <t>RONNEBY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45833</v>
      </c>
      <c r="E291" s="1" t="n">
        <v>46322</v>
      </c>
      <c r="F291" t="inlineStr">
        <is>
          <t>BLEKINGE LÄN</t>
        </is>
      </c>
      <c r="G291" t="inlineStr">
        <is>
          <t>RONNEBY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16867-2025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46322</v>
      </c>
      <c r="F292" t="inlineStr">
        <is>
          <t>BLEKINGE LÄN</t>
        </is>
      </c>
      <c r="G292" t="inlineStr">
        <is>
          <t>RONNEBY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45835</v>
      </c>
      <c r="E293" s="1" t="n">
        <v>46322</v>
      </c>
      <c r="F293" t="inlineStr">
        <is>
          <t>BLEKINGE LÄN</t>
        </is>
      </c>
      <c r="G293" t="inlineStr">
        <is>
          <t>RONNEBY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32142-2025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46322</v>
      </c>
      <c r="F294" t="inlineStr">
        <is>
          <t>BLEKINGE LÄN</t>
        </is>
      </c>
      <c r="G294" t="inlineStr">
        <is>
          <t>RONNEBY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45838</v>
      </c>
      <c r="E295" s="1" t="n">
        <v>46322</v>
      </c>
      <c r="F295" t="inlineStr">
        <is>
          <t>BLEKINGE LÄN</t>
        </is>
      </c>
      <c r="G295" t="inlineStr">
        <is>
          <t>RONNEBY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46322</v>
      </c>
      <c r="F296" t="inlineStr">
        <is>
          <t>BLEKINGE LÄN</t>
        </is>
      </c>
      <c r="G296" t="inlineStr">
        <is>
          <t>RONNEBY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33986-2025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45843</v>
      </c>
      <c r="E297" s="1" t="n">
        <v>46322</v>
      </c>
      <c r="F297" t="inlineStr">
        <is>
          <t>BLEKINGE LÄN</t>
        </is>
      </c>
      <c r="G297" t="inlineStr">
        <is>
          <t>RONNEBY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45714</v>
      </c>
      <c r="E298" s="1" t="n">
        <v>46322</v>
      </c>
      <c r="F298" t="inlineStr">
        <is>
          <t>BLEKINGE LÄN</t>
        </is>
      </c>
      <c r="G298" t="inlineStr">
        <is>
          <t>RONNEBY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45192</v>
      </c>
      <c r="E299" s="1" t="n">
        <v>46322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36724-2024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46322</v>
      </c>
      <c r="F300" t="inlineStr">
        <is>
          <t>BLEKINGE LÄN</t>
        </is>
      </c>
      <c r="G300" t="inlineStr">
        <is>
          <t>RONNEBY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46322</v>
      </c>
      <c r="F301" t="inlineStr">
        <is>
          <t>BLEKINGE LÄN</t>
        </is>
      </c>
      <c r="G301" t="inlineStr">
        <is>
          <t>RONNEBY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46322</v>
      </c>
      <c r="F302" t="inlineStr">
        <is>
          <t>BLEKINGE LÄN</t>
        </is>
      </c>
      <c r="G302" t="inlineStr">
        <is>
          <t>RONNEBY</t>
        </is>
      </c>
      <c r="I302" t="n">
        <v>10.2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45846</v>
      </c>
      <c r="E303" s="1" t="n">
        <v>46322</v>
      </c>
      <c r="F303" t="inlineStr">
        <is>
          <t>BLEKINGE LÄN</t>
        </is>
      </c>
      <c r="G303" t="inlineStr">
        <is>
          <t>RONNEBY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46322</v>
      </c>
      <c r="F304" t="inlineStr">
        <is>
          <t>BLEKINGE LÄN</t>
        </is>
      </c>
      <c r="G304" t="inlineStr">
        <is>
          <t>RONNEBY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61564-2024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46322</v>
      </c>
      <c r="F305" t="inlineStr">
        <is>
          <t>BLEKINGE LÄN</t>
        </is>
      </c>
      <c r="G305" t="inlineStr">
        <is>
          <t>RONNEBY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64465-2023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45280</v>
      </c>
      <c r="E306" s="1" t="n">
        <v>46322</v>
      </c>
      <c r="F306" t="inlineStr">
        <is>
          <t>BLEKINGE LÄN</t>
        </is>
      </c>
      <c r="G306" t="inlineStr">
        <is>
          <t>RONNEBY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45856</v>
      </c>
      <c r="E307" s="1" t="n">
        <v>46322</v>
      </c>
      <c r="F307" t="inlineStr">
        <is>
          <t>BLEKINGE LÄN</t>
        </is>
      </c>
      <c r="G307" t="inlineStr">
        <is>
          <t>RONNEBY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45360</v>
      </c>
      <c r="E308" s="1" t="n">
        <v>46322</v>
      </c>
      <c r="F308" t="inlineStr">
        <is>
          <t>BLEKINGE LÄN</t>
        </is>
      </c>
      <c r="G308" t="inlineStr">
        <is>
          <t>RONNEBY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45559</v>
      </c>
      <c r="E309" s="1" t="n">
        <v>46322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46322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24629-2024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45460</v>
      </c>
      <c r="E311" s="1" t="n">
        <v>46322</v>
      </c>
      <c r="F311" t="inlineStr">
        <is>
          <t>BLEKINGE LÄN</t>
        </is>
      </c>
      <c r="G311" t="inlineStr">
        <is>
          <t>RONNEBY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1183-2025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45653</v>
      </c>
      <c r="E312" s="1" t="n">
        <v>46322</v>
      </c>
      <c r="F312" t="inlineStr">
        <is>
          <t>BLEKINGE LÄN</t>
        </is>
      </c>
      <c r="G312" t="inlineStr">
        <is>
          <t>RONNEBY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46046</v>
      </c>
      <c r="E313" s="1" t="n">
        <v>46322</v>
      </c>
      <c r="F313" t="inlineStr">
        <is>
          <t>BLEKINGE LÄN</t>
        </is>
      </c>
      <c r="G313" t="inlineStr">
        <is>
          <t>RONNEBY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46322</v>
      </c>
      <c r="F314" t="inlineStr">
        <is>
          <t>BLEKINGE LÄN</t>
        </is>
      </c>
      <c r="G314" t="inlineStr">
        <is>
          <t>RONNEBY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46322</v>
      </c>
      <c r="F315" t="inlineStr">
        <is>
          <t>BLEKINGE LÄN</t>
        </is>
      </c>
      <c r="G315" t="inlineStr">
        <is>
          <t>RONNEBY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46052</v>
      </c>
      <c r="E316" s="1" t="n">
        <v>46322</v>
      </c>
      <c r="F316" t="inlineStr">
        <is>
          <t>BLEKINGE LÄN</t>
        </is>
      </c>
      <c r="G316" t="inlineStr">
        <is>
          <t>RONNEBY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46322</v>
      </c>
      <c r="F317" t="inlineStr">
        <is>
          <t>BLEKINGE LÄN</t>
        </is>
      </c>
      <c r="G317" t="inlineStr">
        <is>
          <t>RONNEBY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45104</v>
      </c>
      <c r="E318" s="1" t="n">
        <v>46322</v>
      </c>
      <c r="F318" t="inlineStr">
        <is>
          <t>BLEKINGE LÄN</t>
        </is>
      </c>
      <c r="G318" t="inlineStr">
        <is>
          <t>RONNEBY</t>
        </is>
      </c>
      <c r="H318" t="inlineStr">
        <is>
          <t>Övriga Aktiebolag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9637-2025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46322</v>
      </c>
      <c r="F319" t="inlineStr">
        <is>
          <t>BLEKINGE LÄN</t>
        </is>
      </c>
      <c r="G319" t="inlineStr">
        <is>
          <t>RONNEBY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46322</v>
      </c>
      <c r="F320" t="inlineStr">
        <is>
          <t>BLEKINGE LÄN</t>
        </is>
      </c>
      <c r="G320" t="inlineStr">
        <is>
          <t>RONNEBY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46322</v>
      </c>
      <c r="F321" t="inlineStr">
        <is>
          <t>BLEKINGE LÄN</t>
        </is>
      </c>
      <c r="G321" t="inlineStr">
        <is>
          <t>RONNEBY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46210</v>
      </c>
      <c r="E322" s="1" t="n">
        <v>46322</v>
      </c>
      <c r="F322" t="inlineStr">
        <is>
          <t>BLEKINGE LÄN</t>
        </is>
      </c>
      <c r="G322" t="inlineStr">
        <is>
          <t>RONNEBY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46209</v>
      </c>
      <c r="E323" s="1" t="n">
        <v>46322</v>
      </c>
      <c r="F323" t="inlineStr">
        <is>
          <t>BLEKINGE LÄN</t>
        </is>
      </c>
      <c r="G323" t="inlineStr">
        <is>
          <t>RONNEBY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30564-2026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46210</v>
      </c>
      <c r="E324" s="1" t="n">
        <v>46322</v>
      </c>
      <c r="F324" t="inlineStr">
        <is>
          <t>BLEKINGE LÄN</t>
        </is>
      </c>
      <c r="G324" t="inlineStr">
        <is>
          <t>RONNEBY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46322</v>
      </c>
      <c r="F325" t="inlineStr">
        <is>
          <t>BLEKINGE LÄN</t>
        </is>
      </c>
      <c r="G325" t="inlineStr">
        <is>
          <t>RONNEBY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64466-2023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45280</v>
      </c>
      <c r="E326" s="1" t="n">
        <v>46322</v>
      </c>
      <c r="F326" t="inlineStr">
        <is>
          <t>BLEKINGE LÄN</t>
        </is>
      </c>
      <c r="G326" t="inlineStr">
        <is>
          <t>RONNEBY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46322</v>
      </c>
      <c r="F327" t="inlineStr">
        <is>
          <t>BLEKINGE LÄN</t>
        </is>
      </c>
      <c r="G327" t="inlineStr">
        <is>
          <t>RONNEBY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28975-2023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45104</v>
      </c>
      <c r="E328" s="1" t="n">
        <v>46322</v>
      </c>
      <c r="F328" t="inlineStr">
        <is>
          <t>BLEKINGE LÄN</t>
        </is>
      </c>
      <c r="G328" t="inlineStr">
        <is>
          <t>RONNEBY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46322</v>
      </c>
      <c r="F329" t="inlineStr">
        <is>
          <t>BLEKINGE LÄN</t>
        </is>
      </c>
      <c r="G329" t="inlineStr">
        <is>
          <t>RONNEBY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46212</v>
      </c>
      <c r="E330" s="1" t="n">
        <v>46322</v>
      </c>
      <c r="F330" t="inlineStr">
        <is>
          <t>BLEKINGE LÄN</t>
        </is>
      </c>
      <c r="G330" t="inlineStr">
        <is>
          <t>RONNEBY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46212</v>
      </c>
      <c r="E331" s="1" t="n">
        <v>46322</v>
      </c>
      <c r="F331" t="inlineStr">
        <is>
          <t>BLEKINGE LÄN</t>
        </is>
      </c>
      <c r="G331" t="inlineStr">
        <is>
          <t>RONNEBY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46322</v>
      </c>
      <c r="F332" t="inlineStr">
        <is>
          <t>BLEKINGE LÄN</t>
        </is>
      </c>
      <c r="G332" t="inlineStr">
        <is>
          <t>RONNEBY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8747-2026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46322</v>
      </c>
      <c r="F333" t="inlineStr">
        <is>
          <t>BLEKINGE LÄN</t>
        </is>
      </c>
      <c r="G333" t="inlineStr">
        <is>
          <t>RONNEBY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30536-2023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45111</v>
      </c>
      <c r="E334" s="1" t="n">
        <v>46322</v>
      </c>
      <c r="F334" t="inlineStr">
        <is>
          <t>BLEKINGE LÄN</t>
        </is>
      </c>
      <c r="G334" t="inlineStr">
        <is>
          <t>RONNEBY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31137-2026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46216</v>
      </c>
      <c r="E335" s="1" t="n">
        <v>46322</v>
      </c>
      <c r="F335" t="inlineStr">
        <is>
          <t>BLEKINGE LÄN</t>
        </is>
      </c>
      <c r="G335" t="inlineStr">
        <is>
          <t>RONNEBY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46542-2022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44848</v>
      </c>
      <c r="E336" s="1" t="n">
        <v>46322</v>
      </c>
      <c r="F336" t="inlineStr">
        <is>
          <t>BLEKINGE LÄN</t>
        </is>
      </c>
      <c r="G336" t="inlineStr">
        <is>
          <t>RONNEBY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46322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62278-2022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44916</v>
      </c>
      <c r="E338" s="1" t="n">
        <v>46322</v>
      </c>
      <c r="F338" t="inlineStr">
        <is>
          <t>BLEKINGE LÄN</t>
        </is>
      </c>
      <c r="G338" t="inlineStr">
        <is>
          <t>RONNEBY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31138-2026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46209</v>
      </c>
      <c r="E339" s="1" t="n">
        <v>46322</v>
      </c>
      <c r="F339" t="inlineStr">
        <is>
          <t>BLEKINGE LÄN</t>
        </is>
      </c>
      <c r="G339" t="inlineStr">
        <is>
          <t>RONNEBY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9995-2026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46073</v>
      </c>
      <c r="E340" s="1" t="n">
        <v>46322</v>
      </c>
      <c r="F340" t="inlineStr">
        <is>
          <t>BLEKINGE LÄN</t>
        </is>
      </c>
      <c r="G340" t="inlineStr">
        <is>
          <t>RONNEBY</t>
        </is>
      </c>
      <c r="H340" t="inlineStr">
        <is>
          <t>Kyrkan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46218</v>
      </c>
      <c r="E341" s="1" t="n">
        <v>46322</v>
      </c>
      <c r="F341" t="inlineStr">
        <is>
          <t>BLEKINGE LÄN</t>
        </is>
      </c>
      <c r="G341" t="inlineStr">
        <is>
          <t>RONNEBY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45387</v>
      </c>
      <c r="E342" s="1" t="n">
        <v>46322</v>
      </c>
      <c r="F342" t="inlineStr">
        <is>
          <t>BLEKINGE LÄN</t>
        </is>
      </c>
      <c r="G342" t="inlineStr">
        <is>
          <t>RONNEBY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46322</v>
      </c>
      <c r="F343" t="inlineStr">
        <is>
          <t>BLEKINGE LÄN</t>
        </is>
      </c>
      <c r="G343" t="inlineStr">
        <is>
          <t>RONNEBY</t>
        </is>
      </c>
      <c r="H343" t="inlineStr">
        <is>
          <t>Kyrkan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10807-2026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46078</v>
      </c>
      <c r="E344" s="1" t="n">
        <v>46322</v>
      </c>
      <c r="F344" t="inlineStr">
        <is>
          <t>BLEKINGE LÄN</t>
        </is>
      </c>
      <c r="G344" t="inlineStr">
        <is>
          <t>RONNEBY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46078</v>
      </c>
      <c r="E345" s="1" t="n">
        <v>46322</v>
      </c>
      <c r="F345" t="inlineStr">
        <is>
          <t>BLEKINGE LÄN</t>
        </is>
      </c>
      <c r="G345" t="inlineStr">
        <is>
          <t>RONNEBY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10813-2026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46322</v>
      </c>
      <c r="F346" t="inlineStr">
        <is>
          <t>BLEKINGE LÄN</t>
        </is>
      </c>
      <c r="G346" t="inlineStr">
        <is>
          <t>RONNEBY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45505</v>
      </c>
      <c r="E347" s="1" t="n">
        <v>46322</v>
      </c>
      <c r="F347" t="inlineStr">
        <is>
          <t>BLEKINGE LÄN</t>
        </is>
      </c>
      <c r="G347" t="inlineStr">
        <is>
          <t>RONNEBY</t>
        </is>
      </c>
      <c r="H347" t="inlineStr">
        <is>
          <t>Kommuner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10803-2026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46322</v>
      </c>
      <c r="F348" t="inlineStr">
        <is>
          <t>BLEKINGE LÄN</t>
        </is>
      </c>
      <c r="G348" t="inlineStr">
        <is>
          <t>RONNEBY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10804-2026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46078</v>
      </c>
      <c r="E349" s="1" t="n">
        <v>46322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46322</v>
      </c>
      <c r="F350" t="inlineStr">
        <is>
          <t>BLEKINGE LÄN</t>
        </is>
      </c>
      <c r="G350" t="inlineStr">
        <is>
          <t>RONNEBY</t>
        </is>
      </c>
      <c r="H350" t="inlineStr">
        <is>
          <t>Övriga Aktiebolag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46322</v>
      </c>
      <c r="F351" t="inlineStr">
        <is>
          <t>BLEKINGE LÄN</t>
        </is>
      </c>
      <c r="G351" t="inlineStr">
        <is>
          <t>RONNEBY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54065-2024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45616</v>
      </c>
      <c r="E352" s="1" t="n">
        <v>46322</v>
      </c>
      <c r="F352" t="inlineStr">
        <is>
          <t>BLEKINGE LÄN</t>
        </is>
      </c>
      <c r="G352" t="inlineStr">
        <is>
          <t>RONNEBY</t>
        </is>
      </c>
      <c r="H352" t="inlineStr">
        <is>
          <t>Kommuner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19841-2023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45053</v>
      </c>
      <c r="E353" s="1" t="n">
        <v>46322</v>
      </c>
      <c r="F353" t="inlineStr">
        <is>
          <t>BLEKINGE LÄN</t>
        </is>
      </c>
      <c r="G353" t="inlineStr">
        <is>
          <t>RONNEBY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46226</v>
      </c>
      <c r="E354" s="1" t="n">
        <v>46322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46322</v>
      </c>
      <c r="F355" t="inlineStr">
        <is>
          <t>BLEKINGE LÄN</t>
        </is>
      </c>
      <c r="G355" t="inlineStr">
        <is>
          <t>RONNEBY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49833-2024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45597</v>
      </c>
      <c r="E356" s="1" t="n">
        <v>46322</v>
      </c>
      <c r="F356" t="inlineStr">
        <is>
          <t>BLEKINGE LÄN</t>
        </is>
      </c>
      <c r="G356" t="inlineStr">
        <is>
          <t>RONNEBY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46086</v>
      </c>
      <c r="E357" s="1" t="n">
        <v>46322</v>
      </c>
      <c r="F357" t="inlineStr">
        <is>
          <t>BLEKINGE LÄN</t>
        </is>
      </c>
      <c r="G357" t="inlineStr">
        <is>
          <t>RONNEBY</t>
        </is>
      </c>
      <c r="H357" t="inlineStr">
        <is>
          <t>Övriga Aktiebolag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46086</v>
      </c>
      <c r="E358" s="1" t="n">
        <v>46322</v>
      </c>
      <c r="F358" t="inlineStr">
        <is>
          <t>BLEKINGE LÄN</t>
        </is>
      </c>
      <c r="G358" t="inlineStr">
        <is>
          <t>RONNEBY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46322</v>
      </c>
      <c r="F359" t="inlineStr">
        <is>
          <t>BLEKINGE LÄN</t>
        </is>
      </c>
      <c r="G359" t="inlineStr">
        <is>
          <t>RONNEBY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45630</v>
      </c>
      <c r="E360" s="1" t="n">
        <v>46322</v>
      </c>
      <c r="F360" t="inlineStr">
        <is>
          <t>BLEKINGE LÄN</t>
        </is>
      </c>
      <c r="G360" t="inlineStr">
        <is>
          <t>RONNEBY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44944</v>
      </c>
      <c r="E361" s="1" t="n">
        <v>46322</v>
      </c>
      <c r="F361" t="inlineStr">
        <is>
          <t>BLEKINGE LÄN</t>
        </is>
      </c>
      <c r="G361" t="inlineStr">
        <is>
          <t>RONNEBY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15264-2023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45019</v>
      </c>
      <c r="E362" s="1" t="n">
        <v>46322</v>
      </c>
      <c r="F362" t="inlineStr">
        <is>
          <t>BLEKINGE LÄN</t>
        </is>
      </c>
      <c r="G362" t="inlineStr">
        <is>
          <t>RONNEBY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44722</v>
      </c>
      <c r="E363" s="1" t="n">
        <v>46322</v>
      </c>
      <c r="F363" t="inlineStr">
        <is>
          <t>BLEKINGE LÄN</t>
        </is>
      </c>
      <c r="G363" t="inlineStr">
        <is>
          <t>RONNEBY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32162-2022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44756</v>
      </c>
      <c r="E364" s="1" t="n">
        <v>46322</v>
      </c>
      <c r="F364" t="inlineStr">
        <is>
          <t>BLEKINGE LÄN</t>
        </is>
      </c>
      <c r="G364" t="inlineStr">
        <is>
          <t>RONNEBY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46322</v>
      </c>
      <c r="F365" t="inlineStr">
        <is>
          <t>BLEKINGE LÄN</t>
        </is>
      </c>
      <c r="G365" t="inlineStr">
        <is>
          <t>RONNEBY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45012</v>
      </c>
      <c r="E366" s="1" t="n">
        <v>46322</v>
      </c>
      <c r="F366" t="inlineStr">
        <is>
          <t>BLEKINGE LÄN</t>
        </is>
      </c>
      <c r="G366" t="inlineStr">
        <is>
          <t>RONNEBY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25287-2024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45462</v>
      </c>
      <c r="E367" s="1" t="n">
        <v>46322</v>
      </c>
      <c r="F367" t="inlineStr">
        <is>
          <t>BLEKINGE LÄN</t>
        </is>
      </c>
      <c r="G367" t="inlineStr">
        <is>
          <t>RONNEBY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6543-2023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46322</v>
      </c>
      <c r="F368" t="inlineStr">
        <is>
          <t>BLEKINGE LÄN</t>
        </is>
      </c>
      <c r="G368" t="inlineStr">
        <is>
          <t>RONNEBY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62932-2023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45272</v>
      </c>
      <c r="E369" s="1" t="n">
        <v>46322</v>
      </c>
      <c r="F369" t="inlineStr">
        <is>
          <t>BLEKINGE LÄN</t>
        </is>
      </c>
      <c r="G369" t="inlineStr">
        <is>
          <t>RONNEBY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46281</v>
      </c>
      <c r="E370" s="1" t="n">
        <v>46322</v>
      </c>
      <c r="F370" t="inlineStr">
        <is>
          <t>BLEKINGE LÄN</t>
        </is>
      </c>
      <c r="G370" t="inlineStr">
        <is>
          <t>RONNEBY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46322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45299</v>
      </c>
      <c r="E372" s="1" t="n">
        <v>46322</v>
      </c>
      <c r="F372" t="inlineStr">
        <is>
          <t>BLEKINGE LÄN</t>
        </is>
      </c>
      <c r="G372" t="inlineStr">
        <is>
          <t>RONNEBY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46322</v>
      </c>
      <c r="F373" t="inlineStr">
        <is>
          <t>BLEKINGE LÄN</t>
        </is>
      </c>
      <c r="G373" t="inlineStr">
        <is>
          <t>RONNEBY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46322</v>
      </c>
      <c r="F374" t="inlineStr">
        <is>
          <t>BLEKINGE LÄN</t>
        </is>
      </c>
      <c r="G374" t="inlineStr">
        <is>
          <t>RONNEBY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46322</v>
      </c>
      <c r="F375" t="inlineStr">
        <is>
          <t>BLEKINGE LÄN</t>
        </is>
      </c>
      <c r="G375" t="inlineStr">
        <is>
          <t>RONNEBY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45432</v>
      </c>
      <c r="E376" s="1" t="n">
        <v>46322</v>
      </c>
      <c r="F376" t="inlineStr">
        <is>
          <t>BLEKINGE LÄN</t>
        </is>
      </c>
      <c r="G376" t="inlineStr">
        <is>
          <t>RONNEBY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46322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46322</v>
      </c>
      <c r="F378" t="inlineStr">
        <is>
          <t>BLEKINGE LÄN</t>
        </is>
      </c>
      <c r="G378" t="inlineStr">
        <is>
          <t>RONNEBY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12768-2023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45001</v>
      </c>
      <c r="E379" s="1" t="n">
        <v>46322</v>
      </c>
      <c r="F379" t="inlineStr">
        <is>
          <t>BLEKINGE LÄN</t>
        </is>
      </c>
      <c r="G379" t="inlineStr">
        <is>
          <t>RONNEBY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31418-2024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45505</v>
      </c>
      <c r="E380" s="1" t="n">
        <v>46322</v>
      </c>
      <c r="F380" t="inlineStr">
        <is>
          <t>BLEKINGE LÄN</t>
        </is>
      </c>
      <c r="G380" t="inlineStr">
        <is>
          <t>RONNEBY</t>
        </is>
      </c>
      <c r="H380" t="inlineStr">
        <is>
          <t>Kommuner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46322</v>
      </c>
      <c r="F381" t="inlineStr">
        <is>
          <t>BLEKINGE LÄN</t>
        </is>
      </c>
      <c r="G381" t="inlineStr">
        <is>
          <t>RONNEBY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45359</v>
      </c>
      <c r="E382" s="1" t="n">
        <v>46322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45090</v>
      </c>
      <c r="E383" s="1" t="n">
        <v>46322</v>
      </c>
      <c r="F383" t="inlineStr">
        <is>
          <t>BLEKINGE LÄN</t>
        </is>
      </c>
      <c r="G383" t="inlineStr">
        <is>
          <t>RONNEBY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48183-2024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45589</v>
      </c>
      <c r="E384" s="1" t="n">
        <v>46322</v>
      </c>
      <c r="F384" t="inlineStr">
        <is>
          <t>BLEKINGE LÄN</t>
        </is>
      </c>
      <c r="G384" t="inlineStr">
        <is>
          <t>RONNEBY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45415-2023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45194</v>
      </c>
      <c r="E385" s="1" t="n">
        <v>46322</v>
      </c>
      <c r="F385" t="inlineStr">
        <is>
          <t>BLEKINGE LÄN</t>
        </is>
      </c>
      <c r="G385" t="inlineStr">
        <is>
          <t>RONNEBY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61730-2022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46322</v>
      </c>
      <c r="F386" t="inlineStr">
        <is>
          <t>BLEKINGE LÄN</t>
        </is>
      </c>
      <c r="G386" t="inlineStr">
        <is>
          <t>RONNEBY</t>
        </is>
      </c>
      <c r="I386" t="n">
        <v>9.6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40068-2023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45168</v>
      </c>
      <c r="E387" s="1" t="n">
        <v>46322</v>
      </c>
      <c r="F387" t="inlineStr">
        <is>
          <t>BLEKINGE LÄN</t>
        </is>
      </c>
      <c r="G387" t="inlineStr">
        <is>
          <t>RONNEBY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22542-2023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46322</v>
      </c>
      <c r="F388" t="inlineStr">
        <is>
          <t>BLEKINGE LÄN</t>
        </is>
      </c>
      <c r="G388" t="inlineStr">
        <is>
          <t>RONNEBY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45597</v>
      </c>
      <c r="E389" s="1" t="n">
        <v>46322</v>
      </c>
      <c r="F389" t="inlineStr">
        <is>
          <t>BLEKINGE LÄN</t>
        </is>
      </c>
      <c r="G389" t="inlineStr">
        <is>
          <t>RONNEBY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46434-2023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45197</v>
      </c>
      <c r="E390" s="1" t="n">
        <v>46322</v>
      </c>
      <c r="F390" t="inlineStr">
        <is>
          <t>BLEKINGE LÄN</t>
        </is>
      </c>
      <c r="G390" t="inlineStr">
        <is>
          <t>RONNEBY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45099</v>
      </c>
      <c r="E391" s="1" t="n">
        <v>46322</v>
      </c>
      <c r="F391" t="inlineStr">
        <is>
          <t>BLEKINGE LÄN</t>
        </is>
      </c>
      <c r="G391" t="inlineStr">
        <is>
          <t>RONNEBY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46119</v>
      </c>
      <c r="E392" s="1" t="n">
        <v>46322</v>
      </c>
      <c r="F392" t="inlineStr">
        <is>
          <t>BLEKINGE LÄN</t>
        </is>
      </c>
      <c r="G392" t="inlineStr">
        <is>
          <t>RONNEBY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9569-2024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45360</v>
      </c>
      <c r="E393" s="1" t="n">
        <v>46322</v>
      </c>
      <c r="F393" t="inlineStr">
        <is>
          <t>BLEKINGE LÄN</t>
        </is>
      </c>
      <c r="G393" t="inlineStr">
        <is>
          <t>RONNEBY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44565</v>
      </c>
      <c r="E394" s="1" t="n">
        <v>46322</v>
      </c>
      <c r="F394" t="inlineStr">
        <is>
          <t>BLEKINGE LÄN</t>
        </is>
      </c>
      <c r="G394" t="inlineStr">
        <is>
          <t>RONNEBY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9310-2023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44980</v>
      </c>
      <c r="E395" s="1" t="n">
        <v>46322</v>
      </c>
      <c r="F395" t="inlineStr">
        <is>
          <t>BLEKINGE LÄN</t>
        </is>
      </c>
      <c r="G395" t="inlineStr">
        <is>
          <t>RONNEBY</t>
        </is>
      </c>
      <c r="H395" t="inlineStr">
        <is>
          <t>Övriga Aktiebolag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46322</v>
      </c>
      <c r="F396" t="inlineStr">
        <is>
          <t>BLEKINGE LÄN</t>
        </is>
      </c>
      <c r="G396" t="inlineStr">
        <is>
          <t>RONNEBY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44586</v>
      </c>
      <c r="E397" s="1" t="n">
        <v>46322</v>
      </c>
      <c r="F397" t="inlineStr">
        <is>
          <t>BLEKINGE LÄN</t>
        </is>
      </c>
      <c r="G397" t="inlineStr">
        <is>
          <t>RONNEBY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52817-2024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45610</v>
      </c>
      <c r="E398" s="1" t="n">
        <v>46322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5502-2022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44595</v>
      </c>
      <c r="E399" s="1" t="n">
        <v>46322</v>
      </c>
      <c r="F399" t="inlineStr">
        <is>
          <t>BLEKINGE LÄN</t>
        </is>
      </c>
      <c r="G399" t="inlineStr">
        <is>
          <t>RONNEBY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29552-2022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44754</v>
      </c>
      <c r="E400" s="1" t="n">
        <v>46322</v>
      </c>
      <c r="F400" t="inlineStr">
        <is>
          <t>BLEKINGE LÄN</t>
        </is>
      </c>
      <c r="G400" t="inlineStr">
        <is>
          <t>RONNEBY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29434-2022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44753</v>
      </c>
      <c r="E401" s="1" t="n">
        <v>46322</v>
      </c>
      <c r="F401" t="inlineStr">
        <is>
          <t>BLEKINGE LÄN</t>
        </is>
      </c>
      <c r="G401" t="inlineStr">
        <is>
          <t>RONNEBY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46322</v>
      </c>
      <c r="F402" t="inlineStr">
        <is>
          <t>BLEKINGE LÄN</t>
        </is>
      </c>
      <c r="G402" t="inlineStr">
        <is>
          <t>RONNEBY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12964-2023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45001</v>
      </c>
      <c r="E403" s="1" t="n">
        <v>46322</v>
      </c>
      <c r="F403" t="inlineStr">
        <is>
          <t>BLEKINGE LÄN</t>
        </is>
      </c>
      <c r="G403" t="inlineStr">
        <is>
          <t>RONNEBY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61529-2024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45646</v>
      </c>
      <c r="E404" s="1" t="n">
        <v>46322</v>
      </c>
      <c r="F404" t="inlineStr">
        <is>
          <t>BLEKINGE LÄN</t>
        </is>
      </c>
      <c r="G404" t="inlineStr">
        <is>
          <t>RONNEBY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45002</v>
      </c>
      <c r="E405" s="1" t="n">
        <v>46322</v>
      </c>
      <c r="F405" t="inlineStr">
        <is>
          <t>BLEKINGE LÄN</t>
        </is>
      </c>
      <c r="G405" t="inlineStr">
        <is>
          <t>RONNEBY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46322</v>
      </c>
      <c r="F406" t="inlineStr">
        <is>
          <t>BLEKINGE LÄN</t>
        </is>
      </c>
      <c r="G406" t="inlineStr">
        <is>
          <t>RONNEBY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45460</v>
      </c>
      <c r="E407" s="1" t="n">
        <v>46322</v>
      </c>
      <c r="F407" t="inlineStr">
        <is>
          <t>BLEKINGE LÄN</t>
        </is>
      </c>
      <c r="G407" t="inlineStr">
        <is>
          <t>RONNEBY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45246</v>
      </c>
      <c r="E408" s="1" t="n">
        <v>46322</v>
      </c>
      <c r="F408" t="inlineStr">
        <is>
          <t>BLEKINGE LÄN</t>
        </is>
      </c>
      <c r="G408" t="inlineStr">
        <is>
          <t>RONNEBY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46287</v>
      </c>
      <c r="E409" s="1" t="n">
        <v>46322</v>
      </c>
      <c r="F409" t="inlineStr">
        <is>
          <t>BLEKINGE LÄN</t>
        </is>
      </c>
      <c r="G409" t="inlineStr">
        <is>
          <t>RONNEBY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46287</v>
      </c>
      <c r="E410" s="1" t="n">
        <v>46322</v>
      </c>
      <c r="F410" t="inlineStr">
        <is>
          <t>BLEKINGE LÄN</t>
        </is>
      </c>
      <c r="G410" t="inlineStr">
        <is>
          <t>RONNEBY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46322</v>
      </c>
      <c r="F411" t="inlineStr">
        <is>
          <t>BLEKINGE LÄN</t>
        </is>
      </c>
      <c r="G411" t="inlineStr">
        <is>
          <t>RONNEBY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45001</v>
      </c>
      <c r="E412" s="1" t="n">
        <v>46322</v>
      </c>
      <c r="F412" t="inlineStr">
        <is>
          <t>BLEKINGE LÄN</t>
        </is>
      </c>
      <c r="G412" t="inlineStr">
        <is>
          <t>RONNEBY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17563-2023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45036</v>
      </c>
      <c r="E413" s="1" t="n">
        <v>46322</v>
      </c>
      <c r="F413" t="inlineStr">
        <is>
          <t>BLEKINGE LÄN</t>
        </is>
      </c>
      <c r="G413" t="inlineStr">
        <is>
          <t>RONNEBY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46322</v>
      </c>
      <c r="F414" t="inlineStr">
        <is>
          <t>BLEKINGE LÄN</t>
        </is>
      </c>
      <c r="G414" t="inlineStr">
        <is>
          <t>RONNEBY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56435-2024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45625</v>
      </c>
      <c r="E415" s="1" t="n">
        <v>46322</v>
      </c>
      <c r="F415" t="inlineStr">
        <is>
          <t>BLEKINGE LÄN</t>
        </is>
      </c>
      <c r="G415" t="inlineStr">
        <is>
          <t>RONNEBY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45357</v>
      </c>
      <c r="E416" s="1" t="n">
        <v>46322</v>
      </c>
      <c r="F416" t="inlineStr">
        <is>
          <t>BLEKINGE LÄN</t>
        </is>
      </c>
      <c r="G416" t="inlineStr">
        <is>
          <t>RONNEBY</t>
        </is>
      </c>
      <c r="H416" t="inlineStr">
        <is>
          <t>Kommuner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19948-2023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45054</v>
      </c>
      <c r="E417" s="1" t="n">
        <v>46322</v>
      </c>
      <c r="F417" t="inlineStr">
        <is>
          <t>BLEKINGE LÄN</t>
        </is>
      </c>
      <c r="G417" t="inlineStr">
        <is>
          <t>RONNEBY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46322</v>
      </c>
      <c r="F418" t="inlineStr">
        <is>
          <t>BLEKINGE LÄN</t>
        </is>
      </c>
      <c r="G418" t="inlineStr">
        <is>
          <t>RONNEBY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45677</v>
      </c>
      <c r="E419" s="1" t="n">
        <v>46322</v>
      </c>
      <c r="F419" t="inlineStr">
        <is>
          <t>BLEKINGE LÄN</t>
        </is>
      </c>
      <c r="G419" t="inlineStr">
        <is>
          <t>RONNEBY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11257-2023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44992</v>
      </c>
      <c r="E420" s="1" t="n">
        <v>46322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14428-2024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45394</v>
      </c>
      <c r="E421" s="1" t="n">
        <v>46322</v>
      </c>
      <c r="F421" t="inlineStr">
        <is>
          <t>BLEKINGE LÄN</t>
        </is>
      </c>
      <c r="G421" t="inlineStr">
        <is>
          <t>RONNEBY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46322</v>
      </c>
      <c r="F422" t="inlineStr">
        <is>
          <t>BLEKINGE LÄN</t>
        </is>
      </c>
      <c r="G422" t="inlineStr">
        <is>
          <t>RONNEBY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46322</v>
      </c>
      <c r="F423" t="inlineStr">
        <is>
          <t>BLEKINGE LÄN</t>
        </is>
      </c>
      <c r="G423" t="inlineStr">
        <is>
          <t>RONNEBY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46322</v>
      </c>
      <c r="F424" t="inlineStr">
        <is>
          <t>BLEKINGE LÄN</t>
        </is>
      </c>
      <c r="G424" t="inlineStr">
        <is>
          <t>RONNEBY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15624-2024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45402</v>
      </c>
      <c r="E425" s="1" t="n">
        <v>46322</v>
      </c>
      <c r="F425" t="inlineStr">
        <is>
          <t>BLEKINGE LÄN</t>
        </is>
      </c>
      <c r="G425" t="inlineStr">
        <is>
          <t>RONNEBY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39107-2026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46287</v>
      </c>
      <c r="E426" s="1" t="n">
        <v>46322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12601-2024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45381</v>
      </c>
      <c r="E427" s="1" t="n">
        <v>46322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41660-2024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45560</v>
      </c>
      <c r="E428" s="1" t="n">
        <v>46322</v>
      </c>
      <c r="F428" t="inlineStr">
        <is>
          <t>BLEKINGE LÄN</t>
        </is>
      </c>
      <c r="G428" t="inlineStr">
        <is>
          <t>RONNEBY</t>
        </is>
      </c>
      <c r="H428" t="inlineStr">
        <is>
          <t>Övriga Aktiebolag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46322</v>
      </c>
      <c r="F429" t="inlineStr">
        <is>
          <t>BLEKINGE LÄN</t>
        </is>
      </c>
      <c r="G429" t="inlineStr">
        <is>
          <t>RONNEBY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8452-2024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45354</v>
      </c>
      <c r="E430" s="1" t="n">
        <v>46322</v>
      </c>
      <c r="F430" t="inlineStr">
        <is>
          <t>BLEKINGE LÄN</t>
        </is>
      </c>
      <c r="G430" t="inlineStr">
        <is>
          <t>RONNEBY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45670</v>
      </c>
      <c r="E431" s="1" t="n">
        <v>46322</v>
      </c>
      <c r="F431" t="inlineStr">
        <is>
          <t>BLEKINGE LÄN</t>
        </is>
      </c>
      <c r="G431" t="inlineStr">
        <is>
          <t>RONNEBY</t>
        </is>
      </c>
      <c r="I431" t="n">
        <v>12.6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45932</v>
      </c>
      <c r="E432" s="1" t="n">
        <v>46322</v>
      </c>
      <c r="F432" t="inlineStr">
        <is>
          <t>BLEKINGE LÄN</t>
        </is>
      </c>
      <c r="G432" t="inlineStr">
        <is>
          <t>RONNEBY</t>
        </is>
      </c>
      <c r="H432" t="inlineStr">
        <is>
          <t>Övriga Aktiebolag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47160-2025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45929</v>
      </c>
      <c r="E433" s="1" t="n">
        <v>46322</v>
      </c>
      <c r="F433" t="inlineStr">
        <is>
          <t>BLEKINGE LÄN</t>
        </is>
      </c>
      <c r="G433" t="inlineStr">
        <is>
          <t>RONNEBY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39838-2025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45891</v>
      </c>
      <c r="E434" s="1" t="n">
        <v>46322</v>
      </c>
      <c r="F434" t="inlineStr">
        <is>
          <t>BLEKINGE LÄN</t>
        </is>
      </c>
      <c r="G434" t="inlineStr">
        <is>
          <t>RONNEBY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39844-2025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45891</v>
      </c>
      <c r="E435" s="1" t="n">
        <v>46322</v>
      </c>
      <c r="F435" t="inlineStr">
        <is>
          <t>BLEKINGE LÄN</t>
        </is>
      </c>
      <c r="G435" t="inlineStr">
        <is>
          <t>RONNEBY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45009</v>
      </c>
      <c r="E436" s="1" t="n">
        <v>46322</v>
      </c>
      <c r="F436" t="inlineStr">
        <is>
          <t>BLEKINGE LÄN</t>
        </is>
      </c>
      <c r="G436" t="inlineStr">
        <is>
          <t>RONNEBY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46322</v>
      </c>
      <c r="F437" t="inlineStr">
        <is>
          <t>BLEKINGE LÄN</t>
        </is>
      </c>
      <c r="G437" t="inlineStr">
        <is>
          <t>RONNEBY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45673</v>
      </c>
      <c r="E438" s="1" t="n">
        <v>46322</v>
      </c>
      <c r="F438" t="inlineStr">
        <is>
          <t>BLEKINGE LÄN</t>
        </is>
      </c>
      <c r="G438" t="inlineStr">
        <is>
          <t>RONNEBY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45440</v>
      </c>
      <c r="E439" s="1" t="n">
        <v>46322</v>
      </c>
      <c r="F439" t="inlineStr">
        <is>
          <t>BLEKINGE LÄN</t>
        </is>
      </c>
      <c r="G439" t="inlineStr">
        <is>
          <t>RONNEBY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7255-2025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45702</v>
      </c>
      <c r="E440" s="1" t="n">
        <v>46322</v>
      </c>
      <c r="F440" t="inlineStr">
        <is>
          <t>BLEKINGE LÄN</t>
        </is>
      </c>
      <c r="G440" t="inlineStr">
        <is>
          <t>RONNEBY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20353-2026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46322</v>
      </c>
      <c r="F441" t="inlineStr">
        <is>
          <t>BLEKINGE LÄN</t>
        </is>
      </c>
      <c r="G441" t="inlineStr">
        <is>
          <t>RONNEBY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45821</v>
      </c>
      <c r="E442" s="1" t="n">
        <v>46322</v>
      </c>
      <c r="F442" t="inlineStr">
        <is>
          <t>BLEKINGE LÄN</t>
        </is>
      </c>
      <c r="G442" t="inlineStr">
        <is>
          <t>RONNEBY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54248-2025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45964</v>
      </c>
      <c r="E443" s="1" t="n">
        <v>46322</v>
      </c>
      <c r="F443" t="inlineStr">
        <is>
          <t>BLEKINGE LÄN</t>
        </is>
      </c>
      <c r="G443" t="inlineStr">
        <is>
          <t>RONNEBY</t>
        </is>
      </c>
      <c r="H443" t="inlineStr">
        <is>
          <t>Kommuner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47823-2024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46322</v>
      </c>
      <c r="F444" t="inlineStr">
        <is>
          <t>BLEKINGE LÄN</t>
        </is>
      </c>
      <c r="G444" t="inlineStr">
        <is>
          <t>RONNEBY</t>
        </is>
      </c>
      <c r="H444" t="inlineStr">
        <is>
          <t>Kommuner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52884-2025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45954</v>
      </c>
      <c r="E445" s="1" t="n">
        <v>46322</v>
      </c>
      <c r="F445" t="inlineStr">
        <is>
          <t>BLEKINGE LÄN</t>
        </is>
      </c>
      <c r="G445" t="inlineStr">
        <is>
          <t>RONNEBY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63881-2023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45278</v>
      </c>
      <c r="E446" s="1" t="n">
        <v>46322</v>
      </c>
      <c r="F446" t="inlineStr">
        <is>
          <t>BLEKINGE LÄN</t>
        </is>
      </c>
      <c r="G446" t="inlineStr">
        <is>
          <t>RONNEBY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39426-2025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45889</v>
      </c>
      <c r="E447" s="1" t="n">
        <v>46322</v>
      </c>
      <c r="F447" t="inlineStr">
        <is>
          <t>BLEKINGE LÄN</t>
        </is>
      </c>
      <c r="G447" t="inlineStr">
        <is>
          <t>RONNEBY</t>
        </is>
      </c>
      <c r="H447" t="inlineStr">
        <is>
          <t>Övriga Aktiebolag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50808-2024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46322</v>
      </c>
      <c r="F448" t="inlineStr">
        <is>
          <t>BLEKINGE LÄN</t>
        </is>
      </c>
      <c r="G448" t="inlineStr">
        <is>
          <t>RONNEBY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16866-2025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45754</v>
      </c>
      <c r="E449" s="1" t="n">
        <v>46322</v>
      </c>
      <c r="F449" t="inlineStr">
        <is>
          <t>BLEKINGE LÄN</t>
        </is>
      </c>
      <c r="G449" t="inlineStr">
        <is>
          <t>RONNEBY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10365-2023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44987</v>
      </c>
      <c r="E450" s="1" t="n">
        <v>46322</v>
      </c>
      <c r="F450" t="inlineStr">
        <is>
          <t>BLEKINGE LÄN</t>
        </is>
      </c>
      <c r="G450" t="inlineStr">
        <is>
          <t>RONNEBY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45117</v>
      </c>
      <c r="E451" s="1" t="n">
        <v>46322</v>
      </c>
      <c r="F451" t="inlineStr">
        <is>
          <t>BLEKINGE LÄN</t>
        </is>
      </c>
      <c r="G451" t="inlineStr">
        <is>
          <t>RONNEBY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41863-2025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46322</v>
      </c>
      <c r="F452" t="inlineStr">
        <is>
          <t>BLEKINGE LÄN</t>
        </is>
      </c>
      <c r="G452" t="inlineStr">
        <is>
          <t>RONNEBY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45480</v>
      </c>
      <c r="E453" s="1" t="n">
        <v>46322</v>
      </c>
      <c r="F453" t="inlineStr">
        <is>
          <t>BLEKINGE LÄN</t>
        </is>
      </c>
      <c r="G453" t="inlineStr">
        <is>
          <t>RONNEBY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45302</v>
      </c>
      <c r="E454" s="1" t="n">
        <v>46322</v>
      </c>
      <c r="F454" t="inlineStr">
        <is>
          <t>BLEKINGE LÄN</t>
        </is>
      </c>
      <c r="G454" t="inlineStr">
        <is>
          <t>RONNEBY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4411-2024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46322</v>
      </c>
      <c r="F455" t="inlineStr">
        <is>
          <t>BLEKINGE LÄN</t>
        </is>
      </c>
      <c r="G455" t="inlineStr">
        <is>
          <t>RONNEBY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39247-2025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45889</v>
      </c>
      <c r="E456" s="1" t="n">
        <v>46322</v>
      </c>
      <c r="F456" t="inlineStr">
        <is>
          <t>BLEKINGE LÄN</t>
        </is>
      </c>
      <c r="G456" t="inlineStr">
        <is>
          <t>RONNEBY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25077-2022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44729</v>
      </c>
      <c r="E457" s="1" t="n">
        <v>46322</v>
      </c>
      <c r="F457" t="inlineStr">
        <is>
          <t>BLEKINGE LÄN</t>
        </is>
      </c>
      <c r="G457" t="inlineStr">
        <is>
          <t>RONNEBY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6618-2023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44966</v>
      </c>
      <c r="E458" s="1" t="n">
        <v>46322</v>
      </c>
      <c r="F458" t="inlineStr">
        <is>
          <t>BLEKINGE LÄN</t>
        </is>
      </c>
      <c r="G458" t="inlineStr">
        <is>
          <t>RONNEBY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33489-2026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46247</v>
      </c>
      <c r="E459" s="1" t="n">
        <v>46322</v>
      </c>
      <c r="F459" t="inlineStr">
        <is>
          <t>BLEKINGE LÄN</t>
        </is>
      </c>
      <c r="G459" t="inlineStr">
        <is>
          <t>RONNEBY</t>
        </is>
      </c>
      <c r="H459" t="inlineStr">
        <is>
          <t>Övriga Aktiebolag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54943-2024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45619</v>
      </c>
      <c r="E460" s="1" t="n">
        <v>46322</v>
      </c>
      <c r="F460" t="inlineStr">
        <is>
          <t>BLEKINGE LÄN</t>
        </is>
      </c>
      <c r="G460" t="inlineStr">
        <is>
          <t>RONNEBY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20546-2026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46140</v>
      </c>
      <c r="E461" s="1" t="n">
        <v>46322</v>
      </c>
      <c r="F461" t="inlineStr">
        <is>
          <t>BLEKINGE LÄN</t>
        </is>
      </c>
      <c r="G461" t="inlineStr">
        <is>
          <t>RONNEBY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46322</v>
      </c>
      <c r="F462" t="inlineStr">
        <is>
          <t>BLEKINGE LÄN</t>
        </is>
      </c>
      <c r="G462" t="inlineStr">
        <is>
          <t>RONNEBY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20549-2026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46322</v>
      </c>
      <c r="F463" t="inlineStr">
        <is>
          <t>BLEKINGE LÄN</t>
        </is>
      </c>
      <c r="G463" t="inlineStr">
        <is>
          <t>RONNEBY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45714</v>
      </c>
      <c r="E464" s="1" t="n">
        <v>46322</v>
      </c>
      <c r="F464" t="inlineStr">
        <is>
          <t>BLEKINGE LÄN</t>
        </is>
      </c>
      <c r="G464" t="inlineStr">
        <is>
          <t>RONNEBY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46140</v>
      </c>
      <c r="E465" s="1" t="n">
        <v>46322</v>
      </c>
      <c r="F465" t="inlineStr">
        <is>
          <t>BLEKINGE LÄN</t>
        </is>
      </c>
      <c r="G465" t="inlineStr">
        <is>
          <t>RONNEBY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10567-2026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46077</v>
      </c>
      <c r="E466" s="1" t="n">
        <v>46322</v>
      </c>
      <c r="F466" t="inlineStr">
        <is>
          <t>BLEKINGE LÄN</t>
        </is>
      </c>
      <c r="G466" t="inlineStr">
        <is>
          <t>RONNEBY</t>
        </is>
      </c>
      <c r="H466" t="inlineStr">
        <is>
          <t>Övriga Aktiebolag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39963-2026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46292</v>
      </c>
      <c r="E467" s="1" t="n">
        <v>46322</v>
      </c>
      <c r="F467" t="inlineStr">
        <is>
          <t>BLEKINGE LÄN</t>
        </is>
      </c>
      <c r="G467" t="inlineStr">
        <is>
          <t>RONNEBY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8046-2025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45706</v>
      </c>
      <c r="E468" s="1" t="n">
        <v>46322</v>
      </c>
      <c r="F468" t="inlineStr">
        <is>
          <t>BLEKINGE LÄN</t>
        </is>
      </c>
      <c r="G468" t="inlineStr">
        <is>
          <t>RONNEBY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45337</v>
      </c>
      <c r="E469" s="1" t="n">
        <v>46322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61740-2022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44917</v>
      </c>
      <c r="E470" s="1" t="n">
        <v>46322</v>
      </c>
      <c r="F470" t="inlineStr">
        <is>
          <t>BLEKINGE LÄN</t>
        </is>
      </c>
      <c r="G470" t="inlineStr">
        <is>
          <t>RONNEBY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46248</v>
      </c>
      <c r="E471" s="1" t="n">
        <v>46322</v>
      </c>
      <c r="F471" t="inlineStr">
        <is>
          <t>BLEKINGE LÄN</t>
        </is>
      </c>
      <c r="G471" t="inlineStr">
        <is>
          <t>RONNEBY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39964-2026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46292</v>
      </c>
      <c r="E472" s="1" t="n">
        <v>46322</v>
      </c>
      <c r="F472" t="inlineStr">
        <is>
          <t>BLEKINGE LÄN</t>
        </is>
      </c>
      <c r="G472" t="inlineStr">
        <is>
          <t>RONNEBY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46322</v>
      </c>
      <c r="F473" t="inlineStr">
        <is>
          <t>BLEKINGE LÄN</t>
        </is>
      </c>
      <c r="G473" t="inlineStr">
        <is>
          <t>RONNEBY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32076-2022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44778</v>
      </c>
      <c r="E474" s="1" t="n">
        <v>46322</v>
      </c>
      <c r="F474" t="inlineStr">
        <is>
          <t>BLEKINGE LÄN</t>
        </is>
      </c>
      <c r="G474" t="inlineStr">
        <is>
          <t>RONNEBY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46322</v>
      </c>
      <c r="F475" t="inlineStr">
        <is>
          <t>BLEKINGE LÄN</t>
        </is>
      </c>
      <c r="G475" t="inlineStr">
        <is>
          <t>RONNEBY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7826-2023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44973</v>
      </c>
      <c r="E476" s="1" t="n">
        <v>46322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9.199999999999999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6510-2023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44966</v>
      </c>
      <c r="E477" s="1" t="n">
        <v>46322</v>
      </c>
      <c r="F477" t="inlineStr">
        <is>
          <t>BLEKINGE LÄN</t>
        </is>
      </c>
      <c r="G477" t="inlineStr">
        <is>
          <t>RONNEBY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21709-2026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46149</v>
      </c>
      <c r="E478" s="1" t="n">
        <v>46322</v>
      </c>
      <c r="F478" t="inlineStr">
        <is>
          <t>BLEKINGE LÄN</t>
        </is>
      </c>
      <c r="G478" t="inlineStr">
        <is>
          <t>RONNEBY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46149</v>
      </c>
      <c r="E479" s="1" t="n">
        <v>46322</v>
      </c>
      <c r="F479" t="inlineStr">
        <is>
          <t>BLEKINGE LÄN</t>
        </is>
      </c>
      <c r="G479" t="inlineStr">
        <is>
          <t>RONNEBY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44762</v>
      </c>
      <c r="E480" s="1" t="n">
        <v>46322</v>
      </c>
      <c r="F480" t="inlineStr">
        <is>
          <t>BLEKINGE LÄN</t>
        </is>
      </c>
      <c r="G480" t="inlineStr">
        <is>
          <t>RONNEBY</t>
        </is>
      </c>
      <c r="H480" t="inlineStr">
        <is>
          <t>Övriga Aktiebolag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45775</v>
      </c>
      <c r="E481" s="1" t="n">
        <v>46322</v>
      </c>
      <c r="F481" t="inlineStr">
        <is>
          <t>BLEKINGE LÄN</t>
        </is>
      </c>
      <c r="G481" t="inlineStr">
        <is>
          <t>RONNEBY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46322</v>
      </c>
      <c r="F482" t="inlineStr">
        <is>
          <t>BLEKINGE LÄN</t>
        </is>
      </c>
      <c r="G482" t="inlineStr">
        <is>
          <t>RONNEBY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26548-2022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44739</v>
      </c>
      <c r="E483" s="1" t="n">
        <v>46322</v>
      </c>
      <c r="F483" t="inlineStr">
        <is>
          <t>BLEKINGE LÄN</t>
        </is>
      </c>
      <c r="G483" t="inlineStr">
        <is>
          <t>RONNEBY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44753</v>
      </c>
      <c r="E484" s="1" t="n">
        <v>46322</v>
      </c>
      <c r="F484" t="inlineStr">
        <is>
          <t>BLEKINGE LÄN</t>
        </is>
      </c>
      <c r="G484" t="inlineStr">
        <is>
          <t>RONNEBY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50792-2022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44862</v>
      </c>
      <c r="E485" s="1" t="n">
        <v>46322</v>
      </c>
      <c r="F485" t="inlineStr">
        <is>
          <t>BLEKINGE LÄN</t>
        </is>
      </c>
      <c r="G485" t="inlineStr">
        <is>
          <t>RONNEBY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45470</v>
      </c>
      <c r="E486" s="1" t="n">
        <v>46322</v>
      </c>
      <c r="F486" t="inlineStr">
        <is>
          <t>BLEKINGE LÄN</t>
        </is>
      </c>
      <c r="G486" t="inlineStr">
        <is>
          <t>RONNEBY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25216-2023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45086</v>
      </c>
      <c r="E487" s="1" t="n">
        <v>46322</v>
      </c>
      <c r="F487" t="inlineStr">
        <is>
          <t>BLEKINGE LÄN</t>
        </is>
      </c>
      <c r="G487" t="inlineStr">
        <is>
          <t>RONNEBY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2388-2024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45310</v>
      </c>
      <c r="E488" s="1" t="n">
        <v>46322</v>
      </c>
      <c r="F488" t="inlineStr">
        <is>
          <t>BLEKINGE LÄN</t>
        </is>
      </c>
      <c r="G488" t="inlineStr">
        <is>
          <t>RONNEBY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17904-2023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45040</v>
      </c>
      <c r="E489" s="1" t="n">
        <v>46322</v>
      </c>
      <c r="F489" t="inlineStr">
        <is>
          <t>BLEKINGE LÄN</t>
        </is>
      </c>
      <c r="G489" t="inlineStr">
        <is>
          <t>RONNEBY</t>
        </is>
      </c>
      <c r="I489" t="n">
        <v>11.5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17599-2025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46322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41875-2022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44829</v>
      </c>
      <c r="E491" s="1" t="n">
        <v>46322</v>
      </c>
      <c r="F491" t="inlineStr">
        <is>
          <t>BLEKINGE LÄN</t>
        </is>
      </c>
      <c r="G491" t="inlineStr">
        <is>
          <t>RONNEBY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44956</v>
      </c>
      <c r="E492" s="1" t="n">
        <v>46322</v>
      </c>
      <c r="F492" t="inlineStr">
        <is>
          <t>BLEKINGE LÄN</t>
        </is>
      </c>
      <c r="G492" t="inlineStr">
        <is>
          <t>RONNEBY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33535-2025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45841</v>
      </c>
      <c r="E493" s="1" t="n">
        <v>46322</v>
      </c>
      <c r="F493" t="inlineStr">
        <is>
          <t>BLEKINGE LÄN</t>
        </is>
      </c>
      <c r="G493" t="inlineStr">
        <is>
          <t>RONNEBY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46322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34160-2026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46253</v>
      </c>
      <c r="E495" s="1" t="n">
        <v>46322</v>
      </c>
      <c r="F495" t="inlineStr">
        <is>
          <t>BLEKINGE LÄN</t>
        </is>
      </c>
      <c r="G495" t="inlineStr">
        <is>
          <t>RONNEBY</t>
        </is>
      </c>
      <c r="H495" t="inlineStr">
        <is>
          <t>Övriga Aktiebolag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46294</v>
      </c>
      <c r="E496" s="1" t="n">
        <v>46322</v>
      </c>
      <c r="F496" t="inlineStr">
        <is>
          <t>BLEKINGE LÄN</t>
        </is>
      </c>
      <c r="G496" t="inlineStr">
        <is>
          <t>RONNEBY</t>
        </is>
      </c>
      <c r="H496" t="inlineStr">
        <is>
          <t>Övriga Aktiebolag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45646</v>
      </c>
      <c r="E497" s="1" t="n">
        <v>46322</v>
      </c>
      <c r="F497" t="inlineStr">
        <is>
          <t>BLEKINGE LÄN</t>
        </is>
      </c>
      <c r="G497" t="inlineStr">
        <is>
          <t>RONNEBY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54532-2022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44882</v>
      </c>
      <c r="E498" s="1" t="n">
        <v>46322</v>
      </c>
      <c r="F498" t="inlineStr">
        <is>
          <t>BLEKINGE LÄN</t>
        </is>
      </c>
      <c r="G498" t="inlineStr">
        <is>
          <t>RONNEBY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36202-2024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45534</v>
      </c>
      <c r="E499" s="1" t="n">
        <v>46322</v>
      </c>
      <c r="F499" t="inlineStr">
        <is>
          <t>BLEKINGE LÄN</t>
        </is>
      </c>
      <c r="G499" t="inlineStr">
        <is>
          <t>RONNEBY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23382-2026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46162</v>
      </c>
      <c r="E500" s="1" t="n">
        <v>46322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56592-2022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46322</v>
      </c>
      <c r="F501" t="inlineStr">
        <is>
          <t>BLEKINGE LÄN</t>
        </is>
      </c>
      <c r="G501" t="inlineStr">
        <is>
          <t>RONNEBY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52637-2024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45610</v>
      </c>
      <c r="E502" s="1" t="n">
        <v>46322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46322</v>
      </c>
      <c r="F503" t="inlineStr">
        <is>
          <t>BLEKINGE LÄN</t>
        </is>
      </c>
      <c r="G503" t="inlineStr">
        <is>
          <t>RONNEBY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7716-2023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44972</v>
      </c>
      <c r="E504" s="1" t="n">
        <v>46322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54536-2022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44882</v>
      </c>
      <c r="E505" s="1" t="n">
        <v>46322</v>
      </c>
      <c r="F505" t="inlineStr">
        <is>
          <t>BLEKINGE LÄN</t>
        </is>
      </c>
      <c r="G505" t="inlineStr">
        <is>
          <t>RONNEBY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46322</v>
      </c>
      <c r="F506" t="inlineStr">
        <is>
          <t>BLEKINGE LÄN</t>
        </is>
      </c>
      <c r="G506" t="inlineStr">
        <is>
          <t>RONNEBY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46322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14099-2023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45009</v>
      </c>
      <c r="E508" s="1" t="n">
        <v>46322</v>
      </c>
      <c r="F508" t="inlineStr">
        <is>
          <t>BLEKINGE LÄN</t>
        </is>
      </c>
      <c r="G508" t="inlineStr">
        <is>
          <t>RONNEBY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21206-2023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46322</v>
      </c>
      <c r="F509" t="inlineStr">
        <is>
          <t>BLEKINGE LÄN</t>
        </is>
      </c>
      <c r="G509" t="inlineStr">
        <is>
          <t>RONNEBY</t>
        </is>
      </c>
      <c r="H509" t="inlineStr">
        <is>
          <t>Kommuner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46164</v>
      </c>
      <c r="E510" s="1" t="n">
        <v>46322</v>
      </c>
      <c r="F510" t="inlineStr">
        <is>
          <t>BLEKINGE LÄN</t>
        </is>
      </c>
      <c r="G510" t="inlineStr">
        <is>
          <t>RONNEBY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26644-2022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44739</v>
      </c>
      <c r="E511" s="1" t="n">
        <v>46322</v>
      </c>
      <c r="F511" t="inlineStr">
        <is>
          <t>BLEKINGE LÄN</t>
        </is>
      </c>
      <c r="G511" t="inlineStr">
        <is>
          <t>RONNEBY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45316</v>
      </c>
      <c r="E512" s="1" t="n">
        <v>46322</v>
      </c>
      <c r="F512" t="inlineStr">
        <is>
          <t>BLEKINGE LÄN</t>
        </is>
      </c>
      <c r="G512" t="inlineStr">
        <is>
          <t>RONNEBY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46322</v>
      </c>
      <c r="F513" t="inlineStr">
        <is>
          <t>BLEKINGE LÄN</t>
        </is>
      </c>
      <c r="G513" t="inlineStr">
        <is>
          <t>RONNEBY</t>
        </is>
      </c>
      <c r="I513" t="n">
        <v>15.2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24244-2026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46322</v>
      </c>
      <c r="F514" t="inlineStr">
        <is>
          <t>BLEKINGE LÄN</t>
        </is>
      </c>
      <c r="G514" t="inlineStr">
        <is>
          <t>RONNEBY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22507-2022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44713</v>
      </c>
      <c r="E515" s="1" t="n">
        <v>46322</v>
      </c>
      <c r="F515" t="inlineStr">
        <is>
          <t>BLEKINGE LÄN</t>
        </is>
      </c>
      <c r="G515" t="inlineStr">
        <is>
          <t>RONNEBY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46322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33558-2023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45118</v>
      </c>
      <c r="E517" s="1" t="n">
        <v>46322</v>
      </c>
      <c r="F517" t="inlineStr">
        <is>
          <t>BLEKINGE LÄN</t>
        </is>
      </c>
      <c r="G517" t="inlineStr">
        <is>
          <t>RONNEBY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45426</v>
      </c>
      <c r="E518" s="1" t="n">
        <v>46322</v>
      </c>
      <c r="F518" t="inlineStr">
        <is>
          <t>BLEKINGE LÄN</t>
        </is>
      </c>
      <c r="G518" t="inlineStr">
        <is>
          <t>RONNEBY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45588</v>
      </c>
      <c r="E519" s="1" t="n">
        <v>46322</v>
      </c>
      <c r="F519" t="inlineStr">
        <is>
          <t>BLEKINGE LÄN</t>
        </is>
      </c>
      <c r="G519" t="inlineStr">
        <is>
          <t>RONNEBY</t>
        </is>
      </c>
      <c r="H519" t="inlineStr">
        <is>
          <t>Kommuner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46322</v>
      </c>
      <c r="F520" t="inlineStr">
        <is>
          <t>BLEKINGE LÄN</t>
        </is>
      </c>
      <c r="G520" t="inlineStr">
        <is>
          <t>RONNEBY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39032-2022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44817</v>
      </c>
      <c r="E521" s="1" t="n">
        <v>46322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46322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46322</v>
      </c>
      <c r="F523" t="inlineStr">
        <is>
          <t>BLEKINGE LÄN</t>
        </is>
      </c>
      <c r="G523" t="inlineStr">
        <is>
          <t>RONNEBY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46322</v>
      </c>
      <c r="F524" t="inlineStr">
        <is>
          <t>BLEKINGE LÄN</t>
        </is>
      </c>
      <c r="G524" t="inlineStr">
        <is>
          <t>RONNEBY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9571-2024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45360</v>
      </c>
      <c r="E525" s="1" t="n">
        <v>46322</v>
      </c>
      <c r="F525" t="inlineStr">
        <is>
          <t>BLEKINGE LÄN</t>
        </is>
      </c>
      <c r="G525" t="inlineStr">
        <is>
          <t>RONNEBY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9580-2024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45360</v>
      </c>
      <c r="E526" s="1" t="n">
        <v>46322</v>
      </c>
      <c r="F526" t="inlineStr">
        <is>
          <t>BLEKINGE LÄN</t>
        </is>
      </c>
      <c r="G526" t="inlineStr">
        <is>
          <t>RONNEBY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46322</v>
      </c>
      <c r="F527" t="inlineStr">
        <is>
          <t>BLEKINGE LÄN</t>
        </is>
      </c>
      <c r="G527" t="inlineStr">
        <is>
          <t>RONNEBY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45105</v>
      </c>
      <c r="E528" s="1" t="n">
        <v>46322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44945</v>
      </c>
      <c r="E529" s="1" t="n">
        <v>46322</v>
      </c>
      <c r="F529" t="inlineStr">
        <is>
          <t>BLEKINGE LÄN</t>
        </is>
      </c>
      <c r="G529" t="inlineStr">
        <is>
          <t>RONNEBY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26290-2026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46182</v>
      </c>
      <c r="E530" s="1" t="n">
        <v>46322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25956-2026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46322</v>
      </c>
      <c r="F531" t="inlineStr">
        <is>
          <t>BLEKINGE LÄN</t>
        </is>
      </c>
      <c r="G531" t="inlineStr">
        <is>
          <t>RONNEBY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7347-2022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44606</v>
      </c>
      <c r="E532" s="1" t="n">
        <v>46322</v>
      </c>
      <c r="F532" t="inlineStr">
        <is>
          <t>BLEKINGE LÄN</t>
        </is>
      </c>
      <c r="G532" t="inlineStr">
        <is>
          <t>RONNEBY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46322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26111-2026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46181</v>
      </c>
      <c r="E534" s="1" t="n">
        <v>46322</v>
      </c>
      <c r="F534" t="inlineStr">
        <is>
          <t>BLEKINGE LÄN</t>
        </is>
      </c>
      <c r="G534" t="inlineStr">
        <is>
          <t>RONNEBY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46300</v>
      </c>
      <c r="E535" s="1" t="n">
        <v>46322</v>
      </c>
      <c r="F535" t="inlineStr">
        <is>
          <t>BLEKINGE LÄN</t>
        </is>
      </c>
      <c r="G535" t="inlineStr">
        <is>
          <t>RONNEBY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26779-2026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46184</v>
      </c>
      <c r="E536" s="1" t="n">
        <v>46322</v>
      </c>
      <c r="F536" t="inlineStr">
        <is>
          <t>BLEKINGE LÄN</t>
        </is>
      </c>
      <c r="G536" t="inlineStr">
        <is>
          <t>RONNEBY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26706-2026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46322</v>
      </c>
      <c r="F537" t="inlineStr">
        <is>
          <t>BLEKINGE LÄN</t>
        </is>
      </c>
      <c r="G537" t="inlineStr">
        <is>
          <t>RONNEBY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45178</v>
      </c>
      <c r="E538" s="1" t="n">
        <v>46322</v>
      </c>
      <c r="F538" t="inlineStr">
        <is>
          <t>BLEKINGE LÄN</t>
        </is>
      </c>
      <c r="G538" t="inlineStr">
        <is>
          <t>RONNEBY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21989-2023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45068</v>
      </c>
      <c r="E539" s="1" t="n">
        <v>46322</v>
      </c>
      <c r="F539" t="inlineStr">
        <is>
          <t>BLEKINGE LÄN</t>
        </is>
      </c>
      <c r="G539" t="inlineStr">
        <is>
          <t>RONNEBY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45536</v>
      </c>
      <c r="E540" s="1" t="n">
        <v>46322</v>
      </c>
      <c r="F540" t="inlineStr">
        <is>
          <t>BLEKINGE LÄN</t>
        </is>
      </c>
      <c r="G540" t="inlineStr">
        <is>
          <t>RONNEBY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22814-2023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45072</v>
      </c>
      <c r="E541" s="1" t="n">
        <v>46322</v>
      </c>
      <c r="F541" t="inlineStr">
        <is>
          <t>BLEKINGE LÄN</t>
        </is>
      </c>
      <c r="G541" t="inlineStr">
        <is>
          <t>RONNEBY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41199-2026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46300</v>
      </c>
      <c r="E542" s="1" t="n">
        <v>46322</v>
      </c>
      <c r="F542" t="inlineStr">
        <is>
          <t>BLEKINGE LÄN</t>
        </is>
      </c>
      <c r="G542" t="inlineStr">
        <is>
          <t>RONNEBY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41243-2026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46298</v>
      </c>
      <c r="E543" s="1" t="n">
        <v>46322</v>
      </c>
      <c r="F543" t="inlineStr">
        <is>
          <t>BLEKINGE LÄN</t>
        </is>
      </c>
      <c r="G543" t="inlineStr">
        <is>
          <t>RONNEBY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46168-2023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45196</v>
      </c>
      <c r="E544" s="1" t="n">
        <v>46322</v>
      </c>
      <c r="F544" t="inlineStr">
        <is>
          <t>BLEKINGE LÄN</t>
        </is>
      </c>
      <c r="G544" t="inlineStr">
        <is>
          <t>RONNEBY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41070-2026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46300</v>
      </c>
      <c r="E545" s="1" t="n">
        <v>46322</v>
      </c>
      <c r="F545" t="inlineStr">
        <is>
          <t>BLEKINGE LÄN</t>
        </is>
      </c>
      <c r="G545" t="inlineStr">
        <is>
          <t>RONNEBY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46646-2023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45195</v>
      </c>
      <c r="E546" s="1" t="n">
        <v>46322</v>
      </c>
      <c r="F546" t="inlineStr">
        <is>
          <t>BLEKINGE LÄN</t>
        </is>
      </c>
      <c r="G546" t="inlineStr">
        <is>
          <t>RONNEBY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45775</v>
      </c>
      <c r="E547" s="1" t="n">
        <v>46322</v>
      </c>
      <c r="F547" t="inlineStr">
        <is>
          <t>BLEKINGE LÄN</t>
        </is>
      </c>
      <c r="G547" t="inlineStr">
        <is>
          <t>RONNEBY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45082</v>
      </c>
      <c r="E548" s="1" t="n">
        <v>46322</v>
      </c>
      <c r="F548" t="inlineStr">
        <is>
          <t>BLEKINGE LÄN</t>
        </is>
      </c>
      <c r="G548" t="inlineStr">
        <is>
          <t>RONNEBY</t>
        </is>
      </c>
      <c r="H548" t="inlineStr">
        <is>
          <t>Kommuner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46261</v>
      </c>
      <c r="E549" s="1" t="n">
        <v>46322</v>
      </c>
      <c r="F549" t="inlineStr">
        <is>
          <t>BLEKINGE LÄN</t>
        </is>
      </c>
      <c r="G549" t="inlineStr">
        <is>
          <t>RONNEBY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45367-2023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45193</v>
      </c>
      <c r="E550" s="1" t="n">
        <v>46322</v>
      </c>
      <c r="F550" t="inlineStr">
        <is>
          <t>BLEKINGE LÄN</t>
        </is>
      </c>
      <c r="G550" t="inlineStr">
        <is>
          <t>RONNEBY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61243-2023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45264</v>
      </c>
      <c r="E551" s="1" t="n">
        <v>46322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45085</v>
      </c>
      <c r="E552" s="1" t="n">
        <v>46322</v>
      </c>
      <c r="F552" t="inlineStr">
        <is>
          <t>BLEKINGE LÄN</t>
        </is>
      </c>
      <c r="G552" t="inlineStr">
        <is>
          <t>RONNEBY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35077-2026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46259</v>
      </c>
      <c r="E553" s="1" t="n">
        <v>46322</v>
      </c>
      <c r="F553" t="inlineStr">
        <is>
          <t>BLEKINGE LÄN</t>
        </is>
      </c>
      <c r="G553" t="inlineStr">
        <is>
          <t>RONNEBY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35076-2026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46259</v>
      </c>
      <c r="E554" s="1" t="n">
        <v>46322</v>
      </c>
      <c r="F554" t="inlineStr">
        <is>
          <t>BLEKINGE LÄN</t>
        </is>
      </c>
      <c r="G554" t="inlineStr">
        <is>
          <t>RONNEBY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46322</v>
      </c>
      <c r="F555" t="inlineStr">
        <is>
          <t>BLEKINGE LÄN</t>
        </is>
      </c>
      <c r="G555" t="inlineStr">
        <is>
          <t>RONNEBY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45091</v>
      </c>
      <c r="E556" s="1" t="n">
        <v>46322</v>
      </c>
      <c r="F556" t="inlineStr">
        <is>
          <t>BLEKINGE LÄN</t>
        </is>
      </c>
      <c r="G556" t="inlineStr">
        <is>
          <t>RONNEBY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46302</v>
      </c>
      <c r="E557" s="1" t="n">
        <v>46322</v>
      </c>
      <c r="F557" t="inlineStr">
        <is>
          <t>BLEKINGE LÄN</t>
        </is>
      </c>
      <c r="G557" t="inlineStr">
        <is>
          <t>RONNEBY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46261</v>
      </c>
      <c r="E558" s="1" t="n">
        <v>46322</v>
      </c>
      <c r="F558" t="inlineStr">
        <is>
          <t>BLEKINGE LÄN</t>
        </is>
      </c>
      <c r="G558" t="inlineStr">
        <is>
          <t>RONNEBY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46322</v>
      </c>
      <c r="F559" t="inlineStr">
        <is>
          <t>BLEKINGE LÄN</t>
        </is>
      </c>
      <c r="G559" t="inlineStr">
        <is>
          <t>RONNEBY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45152</v>
      </c>
      <c r="E560" s="1" t="n">
        <v>46322</v>
      </c>
      <c r="F560" t="inlineStr">
        <is>
          <t>BLEKINGE LÄN</t>
        </is>
      </c>
      <c r="G560" t="inlineStr">
        <is>
          <t>RONNEBY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46112</v>
      </c>
      <c r="E561" s="1" t="n">
        <v>46322</v>
      </c>
      <c r="F561" t="inlineStr">
        <is>
          <t>BLEKINGE LÄN</t>
        </is>
      </c>
      <c r="G561" t="inlineStr">
        <is>
          <t>RONNEBY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34457-2023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45139</v>
      </c>
      <c r="E562" s="1" t="n">
        <v>46322</v>
      </c>
      <c r="F562" t="inlineStr">
        <is>
          <t>BLEKINGE LÄN</t>
        </is>
      </c>
      <c r="G562" t="inlineStr">
        <is>
          <t>RONNEBY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41217-2023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45169</v>
      </c>
      <c r="E563" s="1" t="n">
        <v>46322</v>
      </c>
      <c r="F563" t="inlineStr">
        <is>
          <t>BLEKINGE LÄN</t>
        </is>
      </c>
      <c r="G563" t="inlineStr">
        <is>
          <t>RONNEBY</t>
        </is>
      </c>
      <c r="I563" t="n">
        <v>9.9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45118</v>
      </c>
      <c r="E564" s="1" t="n">
        <v>46322</v>
      </c>
      <c r="F564" t="inlineStr">
        <is>
          <t>BLEKINGE LÄN</t>
        </is>
      </c>
      <c r="G564" t="inlineStr">
        <is>
          <t>RONNEBY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42167-2023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45178</v>
      </c>
      <c r="E565" s="1" t="n">
        <v>46322</v>
      </c>
      <c r="F565" t="inlineStr">
        <is>
          <t>BLEKINGE LÄN</t>
        </is>
      </c>
      <c r="G565" t="inlineStr">
        <is>
          <t>RONNEBY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21203-2023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45062</v>
      </c>
      <c r="E566" s="1" t="n">
        <v>46322</v>
      </c>
      <c r="F566" t="inlineStr">
        <is>
          <t>BLEKINGE LÄN</t>
        </is>
      </c>
      <c r="G566" t="inlineStr">
        <is>
          <t>RONNEBY</t>
        </is>
      </c>
      <c r="H566" t="inlineStr">
        <is>
          <t>Kommuner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46884-2023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45201</v>
      </c>
      <c r="E567" s="1" t="n">
        <v>46322</v>
      </c>
      <c r="F567" t="inlineStr">
        <is>
          <t>BLEKINGE LÄN</t>
        </is>
      </c>
      <c r="G567" t="inlineStr">
        <is>
          <t>RONNEBY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46900-2023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45195</v>
      </c>
      <c r="E568" s="1" t="n">
        <v>46322</v>
      </c>
      <c r="F568" t="inlineStr">
        <is>
          <t>BLEKINGE LÄN</t>
        </is>
      </c>
      <c r="G568" t="inlineStr">
        <is>
          <t>RONNEBY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16077-2023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45027</v>
      </c>
      <c r="E569" s="1" t="n">
        <v>46322</v>
      </c>
      <c r="F569" t="inlineStr">
        <is>
          <t>BLEKINGE LÄN</t>
        </is>
      </c>
      <c r="G569" t="inlineStr">
        <is>
          <t>RONNEBY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50921-2024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45602</v>
      </c>
      <c r="E570" s="1" t="n">
        <v>46322</v>
      </c>
      <c r="F570" t="inlineStr">
        <is>
          <t>BLEKINGE LÄN</t>
        </is>
      </c>
      <c r="G570" t="inlineStr">
        <is>
          <t>RONNEBY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12414-2024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45378</v>
      </c>
      <c r="E571" s="1" t="n">
        <v>46322</v>
      </c>
      <c r="F571" t="inlineStr">
        <is>
          <t>BLEKINGE LÄN</t>
        </is>
      </c>
      <c r="G571" t="inlineStr">
        <is>
          <t>RONNEBY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20594-2024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45436</v>
      </c>
      <c r="E572" s="1" t="n">
        <v>46322</v>
      </c>
      <c r="F572" t="inlineStr">
        <is>
          <t>BLEKINGE LÄN</t>
        </is>
      </c>
      <c r="G572" t="inlineStr">
        <is>
          <t>RONNEBY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8003-2024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45350</v>
      </c>
      <c r="E573" s="1" t="n">
        <v>46322</v>
      </c>
      <c r="F573" t="inlineStr">
        <is>
          <t>BLEKINGE LÄN</t>
        </is>
      </c>
      <c r="G573" t="inlineStr">
        <is>
          <t>RONNEBY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8004-2024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45350</v>
      </c>
      <c r="E574" s="1" t="n">
        <v>46322</v>
      </c>
      <c r="F574" t="inlineStr">
        <is>
          <t>BLEKINGE LÄN</t>
        </is>
      </c>
      <c r="G574" t="inlineStr">
        <is>
          <t>RONNEBY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45303</v>
      </c>
      <c r="E575" s="1" t="n">
        <v>46322</v>
      </c>
      <c r="F575" t="inlineStr">
        <is>
          <t>BLEKINGE LÄN</t>
        </is>
      </c>
      <c r="G575" t="inlineStr">
        <is>
          <t>RONNEBY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45303</v>
      </c>
      <c r="E576" s="1" t="n">
        <v>46322</v>
      </c>
      <c r="F576" t="inlineStr">
        <is>
          <t>BLEKINGE LÄN</t>
        </is>
      </c>
      <c r="G576" t="inlineStr">
        <is>
          <t>RONNEBY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44974</v>
      </c>
      <c r="E577" s="1" t="n">
        <v>46322</v>
      </c>
      <c r="F577" t="inlineStr">
        <is>
          <t>BLEKINGE LÄN</t>
        </is>
      </c>
      <c r="G577" t="inlineStr">
        <is>
          <t>RONNEBY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46322</v>
      </c>
      <c r="F578" t="inlineStr">
        <is>
          <t>BLEKINGE LÄN</t>
        </is>
      </c>
      <c r="G578" t="inlineStr">
        <is>
          <t>RONNEBY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35760-2026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46265</v>
      </c>
      <c r="E579" s="1" t="n">
        <v>46322</v>
      </c>
      <c r="F579" t="inlineStr">
        <is>
          <t>BLEKINGE LÄN</t>
        </is>
      </c>
      <c r="G579" t="inlineStr">
        <is>
          <t>RONNEBY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35761-2026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46322</v>
      </c>
      <c r="F580" t="inlineStr">
        <is>
          <t>BLEKINGE LÄN</t>
        </is>
      </c>
      <c r="G580" t="inlineStr">
        <is>
          <t>RONNEBY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35762-2026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46265</v>
      </c>
      <c r="E581" s="1" t="n">
        <v>46322</v>
      </c>
      <c r="F581" t="inlineStr">
        <is>
          <t>BLEKINGE LÄN</t>
        </is>
      </c>
      <c r="G581" t="inlineStr">
        <is>
          <t>RONNEBY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36946-2022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44806</v>
      </c>
      <c r="E582" s="1" t="n">
        <v>46322</v>
      </c>
      <c r="F582" t="inlineStr">
        <is>
          <t>BLEKINGE LÄN</t>
        </is>
      </c>
      <c r="G582" t="inlineStr">
        <is>
          <t>RONNEBY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11179-2023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44992</v>
      </c>
      <c r="E583" s="1" t="n">
        <v>46322</v>
      </c>
      <c r="F583" t="inlineStr">
        <is>
          <t>BLEKINGE LÄN</t>
        </is>
      </c>
      <c r="G583" t="inlineStr">
        <is>
          <t>RONNEBY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46322</v>
      </c>
      <c r="F584" t="inlineStr">
        <is>
          <t>BLEKINGE LÄN</t>
        </is>
      </c>
      <c r="G584" t="inlineStr">
        <is>
          <t>RONNEBY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46311</v>
      </c>
      <c r="E585" s="1" t="n">
        <v>46322</v>
      </c>
      <c r="F585" t="inlineStr">
        <is>
          <t>BLEKINGE LÄN</t>
        </is>
      </c>
      <c r="G585" t="inlineStr">
        <is>
          <t>RONNEBY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43100-2026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46311</v>
      </c>
      <c r="E586" s="1" t="n">
        <v>46322</v>
      </c>
      <c r="F586" t="inlineStr">
        <is>
          <t>BLEKINGE LÄN</t>
        </is>
      </c>
      <c r="G586" t="inlineStr">
        <is>
          <t>RONNEBY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46322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43081-2026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46311</v>
      </c>
      <c r="E588" s="1" t="n">
        <v>46322</v>
      </c>
      <c r="F588" t="inlineStr">
        <is>
          <t>BLEKINGE LÄN</t>
        </is>
      </c>
      <c r="G588" t="inlineStr">
        <is>
          <t>RONNEBY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44565</v>
      </c>
      <c r="E589" s="1" t="n">
        <v>46322</v>
      </c>
      <c r="F589" t="inlineStr">
        <is>
          <t>BLEKINGE LÄN</t>
        </is>
      </c>
      <c r="G589" t="inlineStr">
        <is>
          <t>RONNEBY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55079-2023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45237</v>
      </c>
      <c r="E590" s="1" t="n">
        <v>46322</v>
      </c>
      <c r="F590" t="inlineStr">
        <is>
          <t>BLEKINGE LÄN</t>
        </is>
      </c>
      <c r="G590" t="inlineStr">
        <is>
          <t>RONNEBY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43098-2026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46311</v>
      </c>
      <c r="E591" s="1" t="n">
        <v>46322</v>
      </c>
      <c r="F591" t="inlineStr">
        <is>
          <t>BLEKINGE LÄN</t>
        </is>
      </c>
      <c r="G591" t="inlineStr">
        <is>
          <t>RONNEBY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46322</v>
      </c>
      <c r="F592" t="inlineStr">
        <is>
          <t>BLEKINGE LÄN</t>
        </is>
      </c>
      <c r="G592" t="inlineStr">
        <is>
          <t>RONNEBY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31415-2022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44774</v>
      </c>
      <c r="E593" s="1" t="n">
        <v>46322</v>
      </c>
      <c r="F593" t="inlineStr">
        <is>
          <t>BLEKINGE LÄN</t>
        </is>
      </c>
      <c r="G593" t="inlineStr">
        <is>
          <t>RONNEBY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38375-2024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45545</v>
      </c>
      <c r="E594" s="1" t="n">
        <v>46322</v>
      </c>
      <c r="F594" t="inlineStr">
        <is>
          <t>BLEKINGE LÄN</t>
        </is>
      </c>
      <c r="G594" t="inlineStr">
        <is>
          <t>RONNEBY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46322</v>
      </c>
      <c r="F595" t="inlineStr">
        <is>
          <t>BLEKINGE LÄN</t>
        </is>
      </c>
      <c r="G595" t="inlineStr">
        <is>
          <t>RONNEBY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46322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36305-2026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46268</v>
      </c>
      <c r="E597" s="1" t="n">
        <v>46322</v>
      </c>
      <c r="F597" t="inlineStr">
        <is>
          <t>BLEKINGE LÄN</t>
        </is>
      </c>
      <c r="G597" t="inlineStr">
        <is>
          <t>RONNEBY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46311</v>
      </c>
      <c r="E598" s="1" t="n">
        <v>46322</v>
      </c>
      <c r="F598" t="inlineStr">
        <is>
          <t>BLEKINGE LÄN</t>
        </is>
      </c>
      <c r="G598" t="inlineStr">
        <is>
          <t>RONNEBY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45303</v>
      </c>
      <c r="E599" s="1" t="n">
        <v>46322</v>
      </c>
      <c r="F599" t="inlineStr">
        <is>
          <t>BLEKINGE LÄN</t>
        </is>
      </c>
      <c r="G599" t="inlineStr">
        <is>
          <t>RONNEBY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19594-2024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45430</v>
      </c>
      <c r="E600" s="1" t="n">
        <v>46322</v>
      </c>
      <c r="F600" t="inlineStr">
        <is>
          <t>BLEKINGE LÄN</t>
        </is>
      </c>
      <c r="G600" t="inlineStr">
        <is>
          <t>RONNEBY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4470-2023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44956</v>
      </c>
      <c r="E601" s="1" t="n">
        <v>46322</v>
      </c>
      <c r="F601" t="inlineStr">
        <is>
          <t>BLEKINGE LÄN</t>
        </is>
      </c>
      <c r="G601" t="inlineStr">
        <is>
          <t>RONNEBY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6813-2024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45342</v>
      </c>
      <c r="E602" s="1" t="n">
        <v>46322</v>
      </c>
      <c r="F602" t="inlineStr">
        <is>
          <t>BLEKINGE LÄN</t>
        </is>
      </c>
      <c r="G602" t="inlineStr">
        <is>
          <t>RONNEBY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6869-2024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45342</v>
      </c>
      <c r="E603" s="1" t="n">
        <v>46322</v>
      </c>
      <c r="F603" t="inlineStr">
        <is>
          <t>BLEKINGE LÄN</t>
        </is>
      </c>
      <c r="G603" t="inlineStr">
        <is>
          <t>RONNEBY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45428</v>
      </c>
      <c r="E604" s="1" t="n">
        <v>46322</v>
      </c>
      <c r="F604" t="inlineStr">
        <is>
          <t>BLEKINGE LÄN</t>
        </is>
      </c>
      <c r="G604" t="inlineStr">
        <is>
          <t>RONNEBY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11560-2024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45373</v>
      </c>
      <c r="E605" s="1" t="n">
        <v>46322</v>
      </c>
      <c r="F605" t="inlineStr">
        <is>
          <t>BLEKINGE LÄN</t>
        </is>
      </c>
      <c r="G605" t="inlineStr">
        <is>
          <t>RONNEBY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11165-2025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45724</v>
      </c>
      <c r="E606" s="1" t="n">
        <v>46322</v>
      </c>
      <c r="F606" t="inlineStr">
        <is>
          <t>BLEKINGE LÄN</t>
        </is>
      </c>
      <c r="G606" t="inlineStr">
        <is>
          <t>RONNEBY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14234-2022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44651</v>
      </c>
      <c r="E607" s="1" t="n">
        <v>46322</v>
      </c>
      <c r="F607" t="inlineStr">
        <is>
          <t>BLEKINGE LÄN</t>
        </is>
      </c>
      <c r="G607" t="inlineStr">
        <is>
          <t>RONNEBY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46322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46322</v>
      </c>
      <c r="F609" t="inlineStr">
        <is>
          <t>BLEKINGE LÄN</t>
        </is>
      </c>
      <c r="G609" t="inlineStr">
        <is>
          <t>RONNEBY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41682-2024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45560</v>
      </c>
      <c r="E610" s="1" t="n">
        <v>46322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45408</v>
      </c>
      <c r="E611" s="1" t="n">
        <v>46322</v>
      </c>
      <c r="F611" t="inlineStr">
        <is>
          <t>BLEKINGE LÄN</t>
        </is>
      </c>
      <c r="G611" t="inlineStr">
        <is>
          <t>RONNEBY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43463-2026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46315</v>
      </c>
      <c r="E612" s="1" t="n">
        <v>46322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46317</v>
      </c>
      <c r="E613" s="1" t="n">
        <v>46322</v>
      </c>
      <c r="F613" t="inlineStr">
        <is>
          <t>BLEKINGE LÄN</t>
        </is>
      </c>
      <c r="G613" t="inlineStr">
        <is>
          <t>RONNEBY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46316</v>
      </c>
      <c r="E614" s="1" t="n">
        <v>46322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44072-2026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46317</v>
      </c>
      <c r="E615" s="1" t="n">
        <v>46322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44064-2026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46317</v>
      </c>
      <c r="E616" s="1" t="n">
        <v>46322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44068-2026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46317</v>
      </c>
      <c r="E617" s="1" t="n">
        <v>46322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43726-2026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46316</v>
      </c>
      <c r="E618" s="1" t="n">
        <v>46322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43723-2026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46316</v>
      </c>
      <c r="E619" s="1" t="n">
        <v>46322</v>
      </c>
      <c r="F619" t="inlineStr">
        <is>
          <t>BLEKINGE LÄN</t>
        </is>
      </c>
      <c r="G619" t="inlineStr">
        <is>
          <t>RONNEBY</t>
        </is>
      </c>
      <c r="H619" t="inlineStr">
        <is>
          <t>Övriga Aktiebolag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43725-2026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46316</v>
      </c>
      <c r="E620" s="1" t="n">
        <v>46322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43709-2026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46316</v>
      </c>
      <c r="E621" s="1" t="n">
        <v>46322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44070-2026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46317</v>
      </c>
      <c r="E622" s="1" t="n">
        <v>46322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44071-2026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46317</v>
      </c>
      <c r="E623" s="1" t="n">
        <v>46322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44074-2026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46317</v>
      </c>
      <c r="E624" s="1" t="n">
        <v>46322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44066-2026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46317</v>
      </c>
      <c r="E625" s="1" t="n">
        <v>46322</v>
      </c>
      <c r="F625" t="inlineStr">
        <is>
          <t>BLEKINGE LÄN</t>
        </is>
      </c>
      <c r="G625" t="inlineStr">
        <is>
          <t>RONNEBY</t>
        </is>
      </c>
      <c r="H625" t="inlineStr">
        <is>
          <t>Övriga Aktiebolag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43844-2026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46316</v>
      </c>
      <c r="E626" s="1" t="n">
        <v>46322</v>
      </c>
      <c r="F626" t="inlineStr">
        <is>
          <t>BLEKINGE LÄN</t>
        </is>
      </c>
      <c r="G626" t="inlineStr">
        <is>
          <t>RONNEBY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37861-2026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46279</v>
      </c>
      <c r="E627" s="1" t="n">
        <v>46322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37576-2026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46276</v>
      </c>
      <c r="E628" s="1" t="n">
        <v>46322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37696-2026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46322</v>
      </c>
      <c r="F629" t="inlineStr">
        <is>
          <t>BLEKINGE LÄN</t>
        </is>
      </c>
      <c r="G629" t="inlineStr">
        <is>
          <t>RONNEBY</t>
        </is>
      </c>
      <c r="H629" t="inlineStr">
        <is>
          <t>Övriga Aktiebolag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44533-2026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46321</v>
      </c>
      <c r="E630" s="1" t="n">
        <v>46322</v>
      </c>
      <c r="F630" t="inlineStr">
        <is>
          <t>BLEKINGE LÄN</t>
        </is>
      </c>
      <c r="G630" t="inlineStr">
        <is>
          <t>RONNEBY</t>
        </is>
      </c>
      <c r="H630" t="inlineStr">
        <is>
          <t>Övriga Aktiebolag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32701-2025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45838</v>
      </c>
      <c r="E631" s="1" t="n">
        <v>46322</v>
      </c>
      <c r="F631" t="inlineStr">
        <is>
          <t>BLEKINGE LÄN</t>
        </is>
      </c>
      <c r="G631" t="inlineStr">
        <is>
          <t>RONNEBY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29082-2026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46199</v>
      </c>
      <c r="E632" s="1" t="n">
        <v>46322</v>
      </c>
      <c r="F632" t="inlineStr">
        <is>
          <t>BLEKINGE LÄN</t>
        </is>
      </c>
      <c r="G632" t="inlineStr">
        <is>
          <t>RONNEBY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44529-2026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46321</v>
      </c>
      <c r="E633" s="1" t="n">
        <v>46322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44531-2026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46321</v>
      </c>
      <c r="E634" s="1" t="n">
        <v>46322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7454-2021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44474</v>
      </c>
      <c r="E635" s="1" t="n">
        <v>46322</v>
      </c>
      <c r="F635" t="inlineStr">
        <is>
          <t>BLEKINGE LÄN</t>
        </is>
      </c>
      <c r="G635" t="inlineStr">
        <is>
          <t>RONNEBY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4024-2022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44755</v>
      </c>
      <c r="E636" s="1" t="n">
        <v>46322</v>
      </c>
      <c r="F636" t="inlineStr">
        <is>
          <t>BLEKINGE LÄN</t>
        </is>
      </c>
      <c r="G636" t="inlineStr">
        <is>
          <t>RONNEBY</t>
        </is>
      </c>
      <c r="I636" t="n">
        <v>13.5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949-2022</t>
        </is>
      </c>
      <c r="B637" t="inlineStr">
        <is>
          <t>samrådsanmälan</t>
        </is>
      </c>
      <c r="C637" t="inlineStr">
        <is>
          <t>Skogsbilväg</t>
        </is>
      </c>
      <c r="D637" s="1" t="n">
        <v>44608</v>
      </c>
      <c r="E637" s="1" t="n">
        <v>46322</v>
      </c>
      <c r="F637" t="inlineStr">
        <is>
          <t>BLEKINGE LÄN</t>
        </is>
      </c>
      <c r="G637" t="inlineStr">
        <is>
          <t>RONNEBY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749-2023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44986</v>
      </c>
      <c r="E638" s="1" t="n">
        <v>46322</v>
      </c>
      <c r="F638" t="inlineStr">
        <is>
          <t>BLEKINGE LÄN</t>
        </is>
      </c>
      <c r="G638" t="inlineStr">
        <is>
          <t>RONNEBY</t>
        </is>
      </c>
      <c r="H638" t="inlineStr">
        <is>
          <t>Övriga Aktiebolag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2759-2024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45485</v>
      </c>
      <c r="E639" s="1" t="n">
        <v>46322</v>
      </c>
      <c r="F639" t="inlineStr">
        <is>
          <t>BLEKINGE LÄN</t>
        </is>
      </c>
      <c r="G639" t="inlineStr">
        <is>
          <t>RONNEBY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5159-2024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45646</v>
      </c>
      <c r="E640" s="1" t="n">
        <v>46322</v>
      </c>
      <c r="F640" t="inlineStr">
        <is>
          <t>BLEKINGE LÄN</t>
        </is>
      </c>
      <c r="G640" t="inlineStr">
        <is>
          <t>RONNEBY</t>
        </is>
      </c>
      <c r="I640" t="n">
        <v>75.90000000000001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4617-2024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45602</v>
      </c>
      <c r="E641" s="1" t="n">
        <v>46322</v>
      </c>
      <c r="F641" t="inlineStr">
        <is>
          <t>BLEKINGE LÄN</t>
        </is>
      </c>
      <c r="G641" t="inlineStr">
        <is>
          <t>RONNEBY</t>
        </is>
      </c>
      <c r="I641" t="n">
        <v>65.2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4090-2024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45573</v>
      </c>
      <c r="E642" s="1" t="n">
        <v>46322</v>
      </c>
      <c r="F642" t="inlineStr">
        <is>
          <t>BLEKINGE LÄN</t>
        </is>
      </c>
      <c r="G642" t="inlineStr">
        <is>
          <t>RONNEBY</t>
        </is>
      </c>
      <c r="I642" t="n">
        <v>35.7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6-2025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45656</v>
      </c>
      <c r="E643" s="1" t="n">
        <v>46322</v>
      </c>
      <c r="F643" t="inlineStr">
        <is>
          <t>BLEKINGE LÄN</t>
        </is>
      </c>
      <c r="G643" t="inlineStr">
        <is>
          <t>RONNEBY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385-2023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44959</v>
      </c>
      <c r="E644" s="1" t="n">
        <v>46322</v>
      </c>
      <c r="F644" t="inlineStr">
        <is>
          <t>BLEKINGE LÄN</t>
        </is>
      </c>
      <c r="G644" t="inlineStr">
        <is>
          <t>RONNEBY</t>
        </is>
      </c>
      <c r="I644" t="n">
        <v>20.4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2196-2024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45457</v>
      </c>
      <c r="E645" s="1" t="n">
        <v>46322</v>
      </c>
      <c r="F645" t="inlineStr">
        <is>
          <t>BLEKINGE LÄN</t>
        </is>
      </c>
      <c r="G645" t="inlineStr">
        <is>
          <t>RONNEBY</t>
        </is>
      </c>
      <c r="I645" t="n">
        <v>19.6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2689-2023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45154</v>
      </c>
      <c r="E646" s="1" t="n">
        <v>46322</v>
      </c>
      <c r="F646" t="inlineStr">
        <is>
          <t>BLEKINGE LÄN</t>
        </is>
      </c>
      <c r="G646" t="inlineStr">
        <is>
          <t>RONNEBY</t>
        </is>
      </c>
      <c r="I646" t="n">
        <v>17.8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2690-2023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45154</v>
      </c>
      <c r="E647" s="1" t="n">
        <v>46322</v>
      </c>
      <c r="F647" t="inlineStr">
        <is>
          <t>BLEKINGE LÄN</t>
        </is>
      </c>
      <c r="G647" t="inlineStr">
        <is>
          <t>RONNEBY</t>
        </is>
      </c>
      <c r="I647" t="n">
        <v>17.3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206-2026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46050</v>
      </c>
      <c r="E648" s="1" t="n">
        <v>46322</v>
      </c>
      <c r="F648" t="inlineStr">
        <is>
          <t>BLEKINGE LÄN</t>
        </is>
      </c>
      <c r="G648" t="inlineStr">
        <is>
          <t>RONNEBY</t>
        </is>
      </c>
      <c r="H648" t="inlineStr">
        <is>
          <t>Övriga Aktiebolag</t>
        </is>
      </c>
      <c r="I648" t="n">
        <v>7.7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357-2026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46064</v>
      </c>
      <c r="E649" s="1" t="n">
        <v>46322</v>
      </c>
      <c r="F649" t="inlineStr">
        <is>
          <t>BLEKINGE LÄN</t>
        </is>
      </c>
      <c r="G649" t="inlineStr">
        <is>
          <t>RONNEBY</t>
        </is>
      </c>
      <c r="I649" t="n">
        <v>24.3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782-2026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46099</v>
      </c>
      <c r="E650" s="1" t="n">
        <v>46322</v>
      </c>
      <c r="F650" t="inlineStr">
        <is>
          <t>BLEKINGE LÄN</t>
        </is>
      </c>
      <c r="G650" t="inlineStr">
        <is>
          <t>RONNEBY</t>
        </is>
      </c>
      <c r="I650" t="n">
        <v>26.6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2026-10-27T03:10:25Z</dcterms:created>
  <dcterms:modified xmlns:dcterms="http://purl.org/dc/terms/" xmlns:xsi="http://www.w3.org/2001/XMLSchema-instance" xsi:type="dcterms:W3CDTF">2026-10-27T03:10:26Z</dcterms:modified>
</cp:coreProperties>
</file>