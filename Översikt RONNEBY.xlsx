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46309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46309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46309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46309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46309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46309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46309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46309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46309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46309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46309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46309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46309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46309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46309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46309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46309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46309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46309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46309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46309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46309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46309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46309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46309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7842-2023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46309</v>
      </c>
      <c r="F34" t="inlineStr">
        <is>
          <t>BLEKINGE LÄN</t>
        </is>
      </c>
      <c r="G34" t="inlineStr">
        <is>
          <t>RONNEBY</t>
        </is>
      </c>
      <c r="H34" t="inlineStr">
        <is>
          <t>Övriga Aktiebolag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Bokvårtlav</t>
        </is>
      </c>
      <c r="W34">
        <f>HYPERLINK("https://klasma.github.io/Logging_1081/artfynd/A 7842-2023 artfynd.xlsx", "A 7842-2023")</f>
        <v/>
      </c>
      <c r="X34">
        <f>HYPERLINK("https://klasma.github.io/Logging_1081/kartor/A 7842-2023 karta.png", "A 7842-2023")</f>
        <v/>
      </c>
      <c r="Y34">
        <f>HYPERLINK("https://klasma.github.io/Logging_1081/kartor_geotiff/A 7842-2023 georefererad karta.tif", "A 7842-2023")</f>
        <v/>
      </c>
      <c r="AA34">
        <f>HYPERLINK("https://klasma.github.io/Logging_1081/klagomål/A 7842-2023 FSC-klagomål.docx", "A 7842-2023")</f>
        <v/>
      </c>
      <c r="AB34">
        <f>HYPERLINK("https://klasma.github.io/Logging_1081/klagomålsmail/A 7842-2023 FSC-klagomål mail.docx", "A 7842-2023")</f>
        <v/>
      </c>
      <c r="AC34">
        <f>HYPERLINK("https://klasma.github.io/Logging_1081/tillsyn/A 7842-2023 tillsynsbegäran.docx", "A 7842-2023")</f>
        <v/>
      </c>
      <c r="AD34">
        <f>HYPERLINK("https://klasma.github.io/Logging_1081/tillsynsmail/A 7842-2023 tillsynsbegäran mail.docx", "A 7842-2023")</f>
        <v/>
      </c>
    </row>
    <row r="35" ht="15" customHeight="1">
      <c r="A35" t="inlineStr">
        <is>
          <t>A 14940-2023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46309</v>
      </c>
      <c r="F35" t="inlineStr">
        <is>
          <t>BLEKINGE LÄN</t>
        </is>
      </c>
      <c r="G35" t="inlineStr">
        <is>
          <t>RONNEBY</t>
        </is>
      </c>
      <c r="H35" t="inlineStr">
        <is>
          <t>Övriga statliga verk och myndigheter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Grönhjon</t>
        </is>
      </c>
      <c r="W35">
        <f>HYPERLINK("https://klasma.github.io/Logging_1081/artfynd/A 14940-2023 artfynd.xlsx", "A 14940-2023")</f>
        <v/>
      </c>
      <c r="X35">
        <f>HYPERLINK("https://klasma.github.io/Logging_1081/kartor/A 14940-2023 karta.png", "A 14940-2023")</f>
        <v/>
      </c>
      <c r="Y35">
        <f>HYPERLINK("https://klasma.github.io/Logging_1081/kartor_geotiff/A 14940-2023 georefererad karta.tif", "A 14940-2023")</f>
        <v/>
      </c>
      <c r="AA35">
        <f>HYPERLINK("https://klasma.github.io/Logging_1081/klagomål/A 14940-2023 FSC-klagomål.docx", "A 14940-2023")</f>
        <v/>
      </c>
      <c r="AB35">
        <f>HYPERLINK("https://klasma.github.io/Logging_1081/klagomålsmail/A 14940-2023 FSC-klagomål mail.docx", "A 14940-2023")</f>
        <v/>
      </c>
      <c r="AC35">
        <f>HYPERLINK("https://klasma.github.io/Logging_1081/tillsyn/A 14940-2023 tillsynsbegäran.docx", "A 14940-2023")</f>
        <v/>
      </c>
      <c r="AD35">
        <f>HYPERLINK("https://klasma.github.io/Logging_1081/tillsynsmail/A 14940-2023 tillsynsbegäran mail.docx", "A 14940-2023")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46309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12660-2026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46091</v>
      </c>
      <c r="E37" s="1" t="n">
        <v>46309</v>
      </c>
      <c r="F37" t="inlineStr">
        <is>
          <t>BLEKINGE LÄN</t>
        </is>
      </c>
      <c r="G37" t="inlineStr">
        <is>
          <t>RONNEBY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12660-2026 artfynd.xlsx", "A 12660-2026")</f>
        <v/>
      </c>
      <c r="X37">
        <f>HYPERLINK("https://klasma.github.io/Logging_1081/kartor/A 12660-2026 karta.png", "A 12660-2026")</f>
        <v/>
      </c>
      <c r="Y37">
        <f>HYPERLINK("https://klasma.github.io/Logging_1081/kartor_geotiff/A 12660-2026 georefererad karta.tif", "A 12660-2026")</f>
        <v/>
      </c>
      <c r="AA37">
        <f>HYPERLINK("https://klasma.github.io/Logging_1081/klagomål/A 12660-2026 FSC-klagomål.docx", "A 12660-2026")</f>
        <v/>
      </c>
      <c r="AB37">
        <f>HYPERLINK("https://klasma.github.io/Logging_1081/klagomålsmail/A 12660-2026 FSC-klagomål mail.docx", "A 12660-2026")</f>
        <v/>
      </c>
      <c r="AC37">
        <f>HYPERLINK("https://klasma.github.io/Logging_1081/tillsyn/A 12660-2026 tillsynsbegäran.docx", "A 12660-2026")</f>
        <v/>
      </c>
      <c r="AD37">
        <f>HYPERLINK("https://klasma.github.io/Logging_1081/tillsynsmail/A 12660-2026 tillsynsbegäran mail.docx", "A 12660-2026")</f>
        <v/>
      </c>
    </row>
    <row r="38" ht="15" customHeight="1">
      <c r="A38" t="inlineStr">
        <is>
          <t>A 19471-2026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46133</v>
      </c>
      <c r="E38" s="1" t="n">
        <v>46309</v>
      </c>
      <c r="F38" t="inlineStr">
        <is>
          <t>BLEKINGE LÄN</t>
        </is>
      </c>
      <c r="G38" t="inlineStr">
        <is>
          <t>RONNEBY</t>
        </is>
      </c>
      <c r="I38" t="n">
        <v>1.2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HYPERLINK("https://klasma.github.io/Logging_1081/artfynd/A 19471-2026 artfynd.xlsx", "A 19471-2026")</f>
        <v/>
      </c>
      <c r="X38">
        <f>HYPERLINK("https://klasma.github.io/Logging_1081/kartor/A 19471-2026 karta.png", "A 19471-2026")</f>
        <v/>
      </c>
      <c r="Y38">
        <f>HYPERLINK("https://klasma.github.io/Logging_1081/kartor_geotiff/A 19471-2026 georefererad karta.tif", "A 19471-2026")</f>
        <v/>
      </c>
      <c r="AA38">
        <f>HYPERLINK("https://klasma.github.io/Logging_1081/klagomål/A 19471-2026 FSC-klagomål.docx", "A 19471-2026")</f>
        <v/>
      </c>
      <c r="AB38">
        <f>HYPERLINK("https://klasma.github.io/Logging_1081/klagomålsmail/A 19471-2026 FSC-klagomål mail.docx", "A 19471-2026")</f>
        <v/>
      </c>
      <c r="AC38">
        <f>HYPERLINK("https://klasma.github.io/Logging_1081/tillsyn/A 19471-2026 tillsynsbegäran.docx", "A 19471-2026")</f>
        <v/>
      </c>
      <c r="AD38">
        <f>HYPERLINK("https://klasma.github.io/Logging_1081/tillsynsmail/A 19471-2026 tillsynsbegäran mail.docx", "A 19471-2026")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46309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21446-2023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45063</v>
      </c>
      <c r="E40" s="1" t="n">
        <v>46309</v>
      </c>
      <c r="F40" t="inlineStr">
        <is>
          <t>BLEKINGE LÄN</t>
        </is>
      </c>
      <c r="G40" t="inlineStr">
        <is>
          <t>RONNEBY</t>
        </is>
      </c>
      <c r="H40" t="inlineStr">
        <is>
          <t>Kommuner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HYPERLINK("https://klasma.github.io/Logging_1081/artfynd/A 21446-2023 artfynd.xlsx", "A 21446-2023")</f>
        <v/>
      </c>
      <c r="X40">
        <f>HYPERLINK("https://klasma.github.io/Logging_1081/kartor/A 21446-2023 karta.png", "A 21446-2023")</f>
        <v/>
      </c>
      <c r="Y40">
        <f>HYPERLINK("https://klasma.github.io/Logging_1081/kartor_geotiff/A 21446-2023 georefererad karta.tif", "A 21446-2023")</f>
        <v/>
      </c>
      <c r="AA40">
        <f>HYPERLINK("https://klasma.github.io/Logging_1081/klagomål/A 21446-2023 FSC-klagomål.docx", "A 21446-2023")</f>
        <v/>
      </c>
      <c r="AB40">
        <f>HYPERLINK("https://klasma.github.io/Logging_1081/klagomålsmail/A 21446-2023 FSC-klagomål mail.docx", "A 21446-2023")</f>
        <v/>
      </c>
      <c r="AC40">
        <f>HYPERLINK("https://klasma.github.io/Logging_1081/tillsyn/A 21446-2023 tillsynsbegäran.docx", "A 21446-2023")</f>
        <v/>
      </c>
      <c r="AD40">
        <f>HYPERLINK("https://klasma.github.io/Logging_1081/tillsynsmail/A 21446-2023 tillsynsbegäran mail.docx", "A 21446-2023")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46309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25104-2026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46309</v>
      </c>
      <c r="F42" t="inlineStr">
        <is>
          <t>BLEKINGE LÄN</t>
        </is>
      </c>
      <c r="G42" t="inlineStr">
        <is>
          <t>RONNEBY</t>
        </is>
      </c>
      <c r="I42" t="n">
        <v>1.1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HYPERLINK("https://klasma.github.io/Logging_1081/artfynd/A 25104-2026 artfynd.xlsx", "A 25104-2026")</f>
        <v/>
      </c>
      <c r="X42">
        <f>HYPERLINK("https://klasma.github.io/Logging_1081/kartor/A 25104-2026 karta.png", "A 25104-2026")</f>
        <v/>
      </c>
      <c r="Y42">
        <f>HYPERLINK("https://klasma.github.io/Logging_1081/kartor_geotiff/A 25104-2026 georefererad karta.tif", "A 25104-2026")</f>
        <v/>
      </c>
      <c r="AA42">
        <f>HYPERLINK("https://klasma.github.io/Logging_1081/klagomål/A 25104-2026 FSC-klagomål.docx", "A 25104-2026")</f>
        <v/>
      </c>
      <c r="AB42">
        <f>HYPERLINK("https://klasma.github.io/Logging_1081/klagomålsmail/A 25104-2026 FSC-klagomål mail.docx", "A 25104-2026")</f>
        <v/>
      </c>
      <c r="AC42">
        <f>HYPERLINK("https://klasma.github.io/Logging_1081/tillsyn/A 25104-2026 tillsynsbegäran.docx", "A 25104-2026")</f>
        <v/>
      </c>
      <c r="AD42">
        <f>HYPERLINK("https://klasma.github.io/Logging_1081/tillsynsmail/A 25104-2026 tillsynsbegäran mail.docx", "A 25104-2026")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46309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46309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1.6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Havstulpanlav</t>
        </is>
      </c>
      <c r="W44">
        <f>HYPERLINK("https://klasma.github.io/Logging_1081/artfynd/A 26288-2026 artfynd.xlsx", "A 26288-2026")</f>
        <v/>
      </c>
      <c r="X44">
        <f>HYPERLINK("https://klasma.github.io/Logging_1081/kartor/A 26288-2026 karta.png", "A 26288-2026")</f>
        <v/>
      </c>
      <c r="Y44">
        <f>HYPERLINK("https://klasma.github.io/Logging_1081/kartor_geotiff/A 26288-2026 georefererad karta.tif", "A 26288-2026")</f>
        <v/>
      </c>
      <c r="AA44">
        <f>HYPERLINK("https://klasma.github.io/Logging_1081/klagomål/A 26288-2026 FSC-klagomål.docx", "A 26288-2026")</f>
        <v/>
      </c>
      <c r="AB44">
        <f>HYPERLINK("https://klasma.github.io/Logging_1081/klagomålsmail/A 26288-2026 FSC-klagomål mail.docx", "A 26288-2026")</f>
        <v/>
      </c>
      <c r="AC44">
        <f>HYPERLINK("https://klasma.github.io/Logging_1081/tillsyn/A 26288-2026 tillsynsbegäran.docx", "A 26288-2026")</f>
        <v/>
      </c>
      <c r="AD44">
        <f>HYPERLINK("https://klasma.github.io/Logging_1081/tillsynsmail/A 26288-2026 tillsynsbegäran mail.docx", "A 26288-2026")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46309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46309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46309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Trädporella</t>
        </is>
      </c>
      <c r="W47">
        <f>HYPERLINK("https://klasma.github.io/Logging_1081/artfynd/A 9922-2025 artfynd.xlsx", "A 9922-2025")</f>
        <v/>
      </c>
      <c r="X47">
        <f>HYPERLINK("https://klasma.github.io/Logging_1081/kartor/A 9922-2025 karta.png", "A 9922-2025")</f>
        <v/>
      </c>
      <c r="Y47">
        <f>HYPERLINK("https://klasma.github.io/Logging_1081/kartor_geotiff/A 9922-2025 georefererad karta.tif", "A 9922-2025")</f>
        <v/>
      </c>
      <c r="AA47">
        <f>HYPERLINK("https://klasma.github.io/Logging_1081/klagomål/A 9922-2025 FSC-klagomål.docx", "A 9922-2025")</f>
        <v/>
      </c>
      <c r="AB47">
        <f>HYPERLINK("https://klasma.github.io/Logging_1081/klagomålsmail/A 9922-2025 FSC-klagomål mail.docx", "A 9922-2025")</f>
        <v/>
      </c>
      <c r="AC47">
        <f>HYPERLINK("https://klasma.github.io/Logging_1081/tillsyn/A 9922-2025 tillsynsbegäran.docx", "A 9922-2025")</f>
        <v/>
      </c>
      <c r="AD47">
        <f>HYPERLINK("https://klasma.github.io/Logging_1081/tillsynsmail/A 9922-2025 tillsynsbegäran mail.docx", "A 9922-2025")</f>
        <v/>
      </c>
    </row>
    <row r="48" ht="15" customHeight="1">
      <c r="A48" t="inlineStr">
        <is>
          <t>A 33929-2026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46252</v>
      </c>
      <c r="E48" s="1" t="n">
        <v>46309</v>
      </c>
      <c r="F48" t="inlineStr">
        <is>
          <t>BLEKINGE LÄN</t>
        </is>
      </c>
      <c r="G48" t="inlineStr">
        <is>
          <t>RONNEBY</t>
        </is>
      </c>
      <c r="I48" t="n">
        <v>2.2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HYPERLINK("https://klasma.github.io/Logging_1081/artfynd/A 33929-2026 artfynd.xlsx", "A 33929-2026")</f>
        <v/>
      </c>
      <c r="X48">
        <f>HYPERLINK("https://klasma.github.io/Logging_1081/kartor/A 33929-2026 karta.png", "A 33929-2026")</f>
        <v/>
      </c>
      <c r="Y48">
        <f>HYPERLINK("https://klasma.github.io/Logging_1081/kartor_geotiff/A 33929-2026 georefererad karta.tif", "A 33929-2026")</f>
        <v/>
      </c>
      <c r="AA48">
        <f>HYPERLINK("https://klasma.github.io/Logging_1081/klagomål/A 33929-2026 FSC-klagomål.docx", "A 33929-2026")</f>
        <v/>
      </c>
      <c r="AB48">
        <f>HYPERLINK("https://klasma.github.io/Logging_1081/klagomålsmail/A 33929-2026 FSC-klagomål mail.docx", "A 33929-2026")</f>
        <v/>
      </c>
      <c r="AC48">
        <f>HYPERLINK("https://klasma.github.io/Logging_1081/tillsyn/A 33929-2026 tillsynsbegäran.docx", "A 33929-2026")</f>
        <v/>
      </c>
      <c r="AD48">
        <f>HYPERLINK("https://klasma.github.io/Logging_1081/tillsynsmail/A 33929-2026 tillsynsbegäran mail.docx", "A 33929-2026")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46309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46309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46309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46309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46309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46309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46309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46309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46309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46309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46309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46309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46309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46309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46309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46309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46309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46309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46309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46309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46309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46309</v>
      </c>
      <c r="F70" t="inlineStr">
        <is>
          <t>BLEKINGE LÄN</t>
        </is>
      </c>
      <c r="G70" t="inlineStr">
        <is>
          <t>RONNEBY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46309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46309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46309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46309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46309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46309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46309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46309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46309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46309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46309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46309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46309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46309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46309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46309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46309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46309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46309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46309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46309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46309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46309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46309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46309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46309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46309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46309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46309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46309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46309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46309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46309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46309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46309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46309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46309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46309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46309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44778</v>
      </c>
      <c r="E110" s="1" t="n">
        <v>46309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9580-2024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45360</v>
      </c>
      <c r="E111" s="1" t="n">
        <v>46309</v>
      </c>
      <c r="F111" t="inlineStr">
        <is>
          <t>BLEKINGE LÄN</t>
        </is>
      </c>
      <c r="G111" t="inlineStr">
        <is>
          <t>RONNEBY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45536</v>
      </c>
      <c r="E112" s="1" t="n">
        <v>46309</v>
      </c>
      <c r="F112" t="inlineStr">
        <is>
          <t>BLEKINGE LÄN</t>
        </is>
      </c>
      <c r="G112" t="inlineStr">
        <is>
          <t>RONNEBY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45621</v>
      </c>
      <c r="E113" s="1" t="n">
        <v>46309</v>
      </c>
      <c r="F113" t="inlineStr">
        <is>
          <t>BLEKINGE LÄN</t>
        </is>
      </c>
      <c r="G113" t="inlineStr">
        <is>
          <t>RONNEBY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45310</v>
      </c>
      <c r="E114" s="1" t="n">
        <v>46309</v>
      </c>
      <c r="F114" t="inlineStr">
        <is>
          <t>BLEKINGE LÄN</t>
        </is>
      </c>
      <c r="G114" t="inlineStr">
        <is>
          <t>RONNEBY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46309</v>
      </c>
      <c r="F115" t="inlineStr">
        <is>
          <t>BLEKINGE LÄN</t>
        </is>
      </c>
      <c r="G115" t="inlineStr">
        <is>
          <t>RONNEBY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46309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44806</v>
      </c>
      <c r="E117" s="1" t="n">
        <v>46309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46309</v>
      </c>
      <c r="F118" t="inlineStr">
        <is>
          <t>BLEKINGE LÄN</t>
        </is>
      </c>
      <c r="G118" t="inlineStr">
        <is>
          <t>RONNEBY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46309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46309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46309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46309</v>
      </c>
      <c r="F122" t="inlineStr">
        <is>
          <t>BLEKINGE LÄN</t>
        </is>
      </c>
      <c r="G122" t="inlineStr">
        <is>
          <t>RONNEBY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45381</v>
      </c>
      <c r="E123" s="1" t="n">
        <v>46309</v>
      </c>
      <c r="F123" t="inlineStr">
        <is>
          <t>BLEKINGE LÄN</t>
        </is>
      </c>
      <c r="G123" t="inlineStr">
        <is>
          <t>RONNEBY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46309</v>
      </c>
      <c r="F124" t="inlineStr">
        <is>
          <t>BLEKINGE LÄN</t>
        </is>
      </c>
      <c r="G124" t="inlineStr">
        <is>
          <t>RONNEBY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45086</v>
      </c>
      <c r="E125" s="1" t="n">
        <v>46309</v>
      </c>
      <c r="F125" t="inlineStr">
        <is>
          <t>BLEKINGE LÄN</t>
        </is>
      </c>
      <c r="G125" t="inlineStr">
        <is>
          <t>RONNEBY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46309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46309</v>
      </c>
      <c r="F127" t="inlineStr">
        <is>
          <t>BLEKINGE LÄN</t>
        </is>
      </c>
      <c r="G127" t="inlineStr">
        <is>
          <t>RONNEBY</t>
        </is>
      </c>
      <c r="H127" t="inlineStr">
        <is>
          <t>Övriga Aktiebolag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45121</v>
      </c>
      <c r="E128" s="1" t="n">
        <v>46309</v>
      </c>
      <c r="F128" t="inlineStr">
        <is>
          <t>BLEKINGE LÄN</t>
        </is>
      </c>
      <c r="G128" t="inlineStr">
        <is>
          <t>RONNEBY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45505</v>
      </c>
      <c r="E129" s="1" t="n">
        <v>46309</v>
      </c>
      <c r="F129" t="inlineStr">
        <is>
          <t>BLEKINGE LÄN</t>
        </is>
      </c>
      <c r="G129" t="inlineStr">
        <is>
          <t>RONNEBY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46309</v>
      </c>
      <c r="F130" t="inlineStr">
        <is>
          <t>BLEKINGE LÄN</t>
        </is>
      </c>
      <c r="G130" t="inlineStr">
        <is>
          <t>RONNEBY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44939</v>
      </c>
      <c r="E131" s="1" t="n">
        <v>46309</v>
      </c>
      <c r="F131" t="inlineStr">
        <is>
          <t>BLEKINGE LÄN</t>
        </is>
      </c>
      <c r="G131" t="inlineStr">
        <is>
          <t>RONNEBY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46309</v>
      </c>
      <c r="F132" t="inlineStr">
        <is>
          <t>BLEKINGE LÄN</t>
        </is>
      </c>
      <c r="G132" t="inlineStr">
        <is>
          <t>RONNEBY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44884</v>
      </c>
      <c r="E133" s="1" t="n">
        <v>46309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46309</v>
      </c>
      <c r="F134" t="inlineStr">
        <is>
          <t>BLEKINGE LÄN</t>
        </is>
      </c>
      <c r="G134" t="inlineStr">
        <is>
          <t>RONNEBY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46309</v>
      </c>
      <c r="F135" t="inlineStr">
        <is>
          <t>BLEKINGE LÄN</t>
        </is>
      </c>
      <c r="G135" t="inlineStr">
        <is>
          <t>RONNEBY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45672</v>
      </c>
      <c r="E136" s="1" t="n">
        <v>46309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46309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46309</v>
      </c>
      <c r="F138" t="inlineStr">
        <is>
          <t>BLEKINGE LÄN</t>
        </is>
      </c>
      <c r="G138" t="inlineStr">
        <is>
          <t>RONNEBY</t>
        </is>
      </c>
      <c r="H138" t="inlineStr">
        <is>
          <t>Övriga Aktiebolag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46309</v>
      </c>
      <c r="F139" t="inlineStr">
        <is>
          <t>BLEKINGE LÄN</t>
        </is>
      </c>
      <c r="G139" t="inlineStr">
        <is>
          <t>RONNEBY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46309</v>
      </c>
      <c r="F140" t="inlineStr">
        <is>
          <t>BLEKINGE LÄN</t>
        </is>
      </c>
      <c r="G140" t="inlineStr">
        <is>
          <t>RONNEBY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46309</v>
      </c>
      <c r="F141" t="inlineStr">
        <is>
          <t>BLEKINGE LÄN</t>
        </is>
      </c>
      <c r="G141" t="inlineStr">
        <is>
          <t>RONNEBY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45078</v>
      </c>
      <c r="E142" s="1" t="n">
        <v>46309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57880-2023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45247</v>
      </c>
      <c r="E143" s="1" t="n">
        <v>46309</v>
      </c>
      <c r="F143" t="inlineStr">
        <is>
          <t>BLEKINGE LÄN</t>
        </is>
      </c>
      <c r="G143" t="inlineStr">
        <is>
          <t>RONNEBY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46309</v>
      </c>
      <c r="F144" t="inlineStr">
        <is>
          <t>BLEKINGE LÄN</t>
        </is>
      </c>
      <c r="G144" t="inlineStr">
        <is>
          <t>RONNEBY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46309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46309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46309</v>
      </c>
      <c r="F147" t="inlineStr">
        <is>
          <t>BLEKINGE LÄN</t>
        </is>
      </c>
      <c r="G147" t="inlineStr">
        <is>
          <t>RONNEBY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45803</v>
      </c>
      <c r="E148" s="1" t="n">
        <v>46309</v>
      </c>
      <c r="F148" t="inlineStr">
        <is>
          <t>BLEKINGE LÄN</t>
        </is>
      </c>
      <c r="G148" t="inlineStr">
        <is>
          <t>RONNEBY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46309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45892</v>
      </c>
      <c r="E150" s="1" t="n">
        <v>46309</v>
      </c>
      <c r="F150" t="inlineStr">
        <is>
          <t>BLEKINGE LÄN</t>
        </is>
      </c>
      <c r="G150" t="inlineStr">
        <is>
          <t>RONNEBY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30197-2024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45490</v>
      </c>
      <c r="E151" s="1" t="n">
        <v>46309</v>
      </c>
      <c r="F151" t="inlineStr">
        <is>
          <t>BLEKINGE LÄN</t>
        </is>
      </c>
      <c r="G151" t="inlineStr">
        <is>
          <t>RONNEBY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44944</v>
      </c>
      <c r="E152" s="1" t="n">
        <v>46309</v>
      </c>
      <c r="F152" t="inlineStr">
        <is>
          <t>BLEKINGE LÄN</t>
        </is>
      </c>
      <c r="G152" t="inlineStr">
        <is>
          <t>RONNEBY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46309</v>
      </c>
      <c r="F153" t="inlineStr">
        <is>
          <t>BLEKINGE LÄN</t>
        </is>
      </c>
      <c r="G153" t="inlineStr">
        <is>
          <t>RONNEBY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45785</v>
      </c>
      <c r="E154" s="1" t="n">
        <v>46309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9302-2023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44980</v>
      </c>
      <c r="E155" s="1" t="n">
        <v>46309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46309</v>
      </c>
      <c r="F156" t="inlineStr">
        <is>
          <t>BLEKINGE LÄN</t>
        </is>
      </c>
      <c r="G156" t="inlineStr">
        <is>
          <t>RONNEBY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45619</v>
      </c>
      <c r="E157" s="1" t="n">
        <v>46309</v>
      </c>
      <c r="F157" t="inlineStr">
        <is>
          <t>BLEKINGE LÄN</t>
        </is>
      </c>
      <c r="G157" t="inlineStr">
        <is>
          <t>RONNEBY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46309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46309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46309</v>
      </c>
      <c r="F160" t="inlineStr">
        <is>
          <t>BLEKINGE LÄN</t>
        </is>
      </c>
      <c r="G160" t="inlineStr">
        <is>
          <t>RONNEBY</t>
        </is>
      </c>
      <c r="I160" t="n">
        <v>9.199999999999999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46309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46309</v>
      </c>
      <c r="F162" t="inlineStr">
        <is>
          <t>BLEKINGE LÄN</t>
        </is>
      </c>
      <c r="G162" t="inlineStr">
        <is>
          <t>RONNEBY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45807</v>
      </c>
      <c r="E163" s="1" t="n">
        <v>46309</v>
      </c>
      <c r="F163" t="inlineStr">
        <is>
          <t>BLEKINGE LÄN</t>
        </is>
      </c>
      <c r="G163" t="inlineStr">
        <is>
          <t>RONNEBY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43291-2025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45910</v>
      </c>
      <c r="E164" s="1" t="n">
        <v>46309</v>
      </c>
      <c r="F164" t="inlineStr">
        <is>
          <t>BLEKINGE LÄN</t>
        </is>
      </c>
      <c r="G164" t="inlineStr">
        <is>
          <t>RONNEBY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45843</v>
      </c>
      <c r="E165" s="1" t="n">
        <v>46309</v>
      </c>
      <c r="F165" t="inlineStr">
        <is>
          <t>BLEKINGE LÄN</t>
        </is>
      </c>
      <c r="G165" t="inlineStr">
        <is>
          <t>RONNEBY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46309</v>
      </c>
      <c r="F166" t="inlineStr">
        <is>
          <t>BLEKINGE LÄN</t>
        </is>
      </c>
      <c r="G166" t="inlineStr">
        <is>
          <t>RONNEBY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45597</v>
      </c>
      <c r="E167" s="1" t="n">
        <v>46309</v>
      </c>
      <c r="F167" t="inlineStr">
        <is>
          <t>BLEKINGE LÄN</t>
        </is>
      </c>
      <c r="G167" t="inlineStr">
        <is>
          <t>RONNEBY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46309</v>
      </c>
      <c r="F168" t="inlineStr">
        <is>
          <t>BLEKINGE LÄN</t>
        </is>
      </c>
      <c r="G168" t="inlineStr">
        <is>
          <t>RONNEBY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44229-2025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45915</v>
      </c>
      <c r="E169" s="1" t="n">
        <v>46309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45413</v>
      </c>
      <c r="E170" s="1" t="n">
        <v>46309</v>
      </c>
      <c r="F170" t="inlineStr">
        <is>
          <t>BLEKINGE LÄN</t>
        </is>
      </c>
      <c r="G170" t="inlineStr">
        <is>
          <t>RONNEBY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45426</v>
      </c>
      <c r="E171" s="1" t="n">
        <v>46309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44218-2025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46309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46309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46309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64465-2023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45280</v>
      </c>
      <c r="E175" s="1" t="n">
        <v>46309</v>
      </c>
      <c r="F175" t="inlineStr">
        <is>
          <t>BLEKINGE LÄN</t>
        </is>
      </c>
      <c r="G175" t="inlineStr">
        <is>
          <t>RONNEBY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46309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46309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46309</v>
      </c>
      <c r="F178" t="inlineStr">
        <is>
          <t>BLEKINGE LÄN</t>
        </is>
      </c>
      <c r="G178" t="inlineStr">
        <is>
          <t>RONNEBY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46309</v>
      </c>
      <c r="F179" t="inlineStr">
        <is>
          <t>BLEKINGE LÄN</t>
        </is>
      </c>
      <c r="G179" t="inlineStr">
        <is>
          <t>RONNEBY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44992</v>
      </c>
      <c r="E180" s="1" t="n">
        <v>46309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46309</v>
      </c>
      <c r="F181" t="inlineStr">
        <is>
          <t>BLEKINGE LÄN</t>
        </is>
      </c>
      <c r="G181" t="inlineStr">
        <is>
          <t>RONNEBY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46309</v>
      </c>
      <c r="F182" t="inlineStr">
        <is>
          <t>BLEKINGE LÄN</t>
        </is>
      </c>
      <c r="G182" t="inlineStr">
        <is>
          <t>RONNEBY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45559</v>
      </c>
      <c r="E183" s="1" t="n">
        <v>46309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46309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46309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46309</v>
      </c>
      <c r="F186" t="inlineStr">
        <is>
          <t>BLEKINGE LÄN</t>
        </is>
      </c>
      <c r="G186" t="inlineStr">
        <is>
          <t>RONNEBY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46309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46309</v>
      </c>
      <c r="F188" t="inlineStr">
        <is>
          <t>BLEKINGE LÄN</t>
        </is>
      </c>
      <c r="G188" t="inlineStr">
        <is>
          <t>RONNEBY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46309</v>
      </c>
      <c r="F189" t="inlineStr">
        <is>
          <t>BLEKINGE LÄN</t>
        </is>
      </c>
      <c r="G189" t="inlineStr">
        <is>
          <t>RONNEBY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46309</v>
      </c>
      <c r="F190" t="inlineStr">
        <is>
          <t>BLEKINGE LÄN</t>
        </is>
      </c>
      <c r="G190" t="inlineStr">
        <is>
          <t>RONNEBY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46309</v>
      </c>
      <c r="F191" t="inlineStr">
        <is>
          <t>BLEKINGE LÄN</t>
        </is>
      </c>
      <c r="G191" t="inlineStr">
        <is>
          <t>RONNEBY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46309</v>
      </c>
      <c r="F192" t="inlineStr">
        <is>
          <t>BLEKINGE LÄN</t>
        </is>
      </c>
      <c r="G192" t="inlineStr">
        <is>
          <t>RONNEBY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46309</v>
      </c>
      <c r="F193" t="inlineStr">
        <is>
          <t>BLEKINGE LÄN</t>
        </is>
      </c>
      <c r="G193" t="inlineStr">
        <is>
          <t>RONNEBY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46309</v>
      </c>
      <c r="F194" t="inlineStr">
        <is>
          <t>BLEKINGE LÄN</t>
        </is>
      </c>
      <c r="G194" t="inlineStr">
        <is>
          <t>RONNEBY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46309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44627</v>
      </c>
      <c r="E196" s="1" t="n">
        <v>46309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54065-2024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45616</v>
      </c>
      <c r="E197" s="1" t="n">
        <v>46309</v>
      </c>
      <c r="F197" t="inlineStr">
        <is>
          <t>BLEKINGE LÄN</t>
        </is>
      </c>
      <c r="G197" t="inlineStr">
        <is>
          <t>RONNEBY</t>
        </is>
      </c>
      <c r="H197" t="inlineStr">
        <is>
          <t>Kommuner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45178</v>
      </c>
      <c r="E198" s="1" t="n">
        <v>46309</v>
      </c>
      <c r="F198" t="inlineStr">
        <is>
          <t>BLEKINGE LÄN</t>
        </is>
      </c>
      <c r="G198" t="inlineStr">
        <is>
          <t>RONNEBY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46309</v>
      </c>
      <c r="F199" t="inlineStr">
        <is>
          <t>BLEKINGE LÄN</t>
        </is>
      </c>
      <c r="G199" t="inlineStr">
        <is>
          <t>RONNEBY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46309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46309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45840</v>
      </c>
      <c r="E202" s="1" t="n">
        <v>46309</v>
      </c>
      <c r="F202" t="inlineStr">
        <is>
          <t>BLEKINGE LÄN</t>
        </is>
      </c>
      <c r="G202" t="inlineStr">
        <is>
          <t>RONNEBY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45551</v>
      </c>
      <c r="E203" s="1" t="n">
        <v>46309</v>
      </c>
      <c r="F203" t="inlineStr">
        <is>
          <t>BLEKINGE LÄN</t>
        </is>
      </c>
      <c r="G203" t="inlineStr">
        <is>
          <t>RONNEBY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46309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58618-2021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46309</v>
      </c>
      <c r="F205" t="inlineStr">
        <is>
          <t>BLEKINGE LÄN</t>
        </is>
      </c>
      <c r="G205" t="inlineStr">
        <is>
          <t>RONNEBY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46309</v>
      </c>
      <c r="F206" t="inlineStr">
        <is>
          <t>BLEKINGE LÄN</t>
        </is>
      </c>
      <c r="G206" t="inlineStr">
        <is>
          <t>RONNEBY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44565</v>
      </c>
      <c r="E207" s="1" t="n">
        <v>46309</v>
      </c>
      <c r="F207" t="inlineStr">
        <is>
          <t>BLEKINGE LÄN</t>
        </is>
      </c>
      <c r="G207" t="inlineStr">
        <is>
          <t>RONNEBY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45846</v>
      </c>
      <c r="E208" s="1" t="n">
        <v>46309</v>
      </c>
      <c r="F208" t="inlineStr">
        <is>
          <t>BLEKINGE LÄN</t>
        </is>
      </c>
      <c r="G208" t="inlineStr">
        <is>
          <t>RONNEBY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46309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45843</v>
      </c>
      <c r="E210" s="1" t="n">
        <v>46309</v>
      </c>
      <c r="F210" t="inlineStr">
        <is>
          <t>BLEKINGE LÄN</t>
        </is>
      </c>
      <c r="G210" t="inlineStr">
        <is>
          <t>RONNEBY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46309</v>
      </c>
      <c r="F211" t="inlineStr">
        <is>
          <t>BLEKINGE LÄN</t>
        </is>
      </c>
      <c r="G211" t="inlineStr">
        <is>
          <t>RONNEBY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45104</v>
      </c>
      <c r="E212" s="1" t="n">
        <v>46309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45505</v>
      </c>
      <c r="E213" s="1" t="n">
        <v>46309</v>
      </c>
      <c r="F213" t="inlineStr">
        <is>
          <t>BLEKINGE LÄN</t>
        </is>
      </c>
      <c r="G213" t="inlineStr">
        <is>
          <t>RONNEBY</t>
        </is>
      </c>
      <c r="H213" t="inlineStr">
        <is>
          <t>Kommuner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45192</v>
      </c>
      <c r="E214" s="1" t="n">
        <v>46309</v>
      </c>
      <c r="F214" t="inlineStr">
        <is>
          <t>BLEKINGE LÄN</t>
        </is>
      </c>
      <c r="G214" t="inlineStr">
        <is>
          <t>RONNEBY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46309</v>
      </c>
      <c r="F215" t="inlineStr">
        <is>
          <t>BLEKINGE LÄN</t>
        </is>
      </c>
      <c r="G215" t="inlineStr">
        <is>
          <t>RONNEBY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45856</v>
      </c>
      <c r="E216" s="1" t="n">
        <v>46309</v>
      </c>
      <c r="F216" t="inlineStr">
        <is>
          <t>BLEKINGE LÄN</t>
        </is>
      </c>
      <c r="G216" t="inlineStr">
        <is>
          <t>RONNEBY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46309</v>
      </c>
      <c r="F217" t="inlineStr">
        <is>
          <t>BLEKINGE LÄN</t>
        </is>
      </c>
      <c r="G217" t="inlineStr">
        <is>
          <t>RONNEBY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45947</v>
      </c>
      <c r="E218" s="1" t="n">
        <v>46309</v>
      </c>
      <c r="F218" t="inlineStr">
        <is>
          <t>BLEKINGE LÄN</t>
        </is>
      </c>
      <c r="G218" t="inlineStr">
        <is>
          <t>RONNEBY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46309</v>
      </c>
      <c r="F219" t="inlineStr">
        <is>
          <t>BLEKINGE LÄN</t>
        </is>
      </c>
      <c r="G219" t="inlineStr">
        <is>
          <t>RONNEBY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46046</v>
      </c>
      <c r="E220" s="1" t="n">
        <v>46309</v>
      </c>
      <c r="F220" t="inlineStr">
        <is>
          <t>BLEKINGE LÄN</t>
        </is>
      </c>
      <c r="G220" t="inlineStr">
        <is>
          <t>RONNEBY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46309</v>
      </c>
      <c r="F221" t="inlineStr">
        <is>
          <t>BLEKINGE LÄN</t>
        </is>
      </c>
      <c r="G221" t="inlineStr">
        <is>
          <t>RONNEBY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46309</v>
      </c>
      <c r="F222" t="inlineStr">
        <is>
          <t>BLEKINGE LÄN</t>
        </is>
      </c>
      <c r="G222" t="inlineStr">
        <is>
          <t>RONNEBY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45722</v>
      </c>
      <c r="E223" s="1" t="n">
        <v>46309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45653</v>
      </c>
      <c r="E224" s="1" t="n">
        <v>46309</v>
      </c>
      <c r="F224" t="inlineStr">
        <is>
          <t>BLEKINGE LÄN</t>
        </is>
      </c>
      <c r="G224" t="inlineStr">
        <is>
          <t>RONNEBY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46309</v>
      </c>
      <c r="F225" t="inlineStr">
        <is>
          <t>BLEKINGE LÄN</t>
        </is>
      </c>
      <c r="G225" t="inlineStr">
        <is>
          <t>RONNEBY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46309</v>
      </c>
      <c r="F226" t="inlineStr">
        <is>
          <t>BLEKINGE LÄN</t>
        </is>
      </c>
      <c r="G226" t="inlineStr">
        <is>
          <t>RONNEBY</t>
        </is>
      </c>
      <c r="H226" t="inlineStr">
        <is>
          <t>Kommuner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44944</v>
      </c>
      <c r="E227" s="1" t="n">
        <v>46309</v>
      </c>
      <c r="F227" t="inlineStr">
        <is>
          <t>BLEKINGE LÄN</t>
        </is>
      </c>
      <c r="G227" t="inlineStr">
        <is>
          <t>RONNEBY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46309</v>
      </c>
      <c r="F228" t="inlineStr">
        <is>
          <t>BLEKINGE LÄN</t>
        </is>
      </c>
      <c r="G228" t="inlineStr">
        <is>
          <t>RONNEBY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46309</v>
      </c>
      <c r="F229" t="inlineStr">
        <is>
          <t>BLEKINGE LÄN</t>
        </is>
      </c>
      <c r="G229" t="inlineStr">
        <is>
          <t>RONNEBY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46309</v>
      </c>
      <c r="F230" t="inlineStr">
        <is>
          <t>BLEKINGE LÄN</t>
        </is>
      </c>
      <c r="G230" t="inlineStr">
        <is>
          <t>RONNEBY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46309</v>
      </c>
      <c r="F231" t="inlineStr">
        <is>
          <t>BLEKINGE LÄN</t>
        </is>
      </c>
      <c r="G231" t="inlineStr">
        <is>
          <t>RONNEBY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46309</v>
      </c>
      <c r="F232" t="inlineStr">
        <is>
          <t>BLEKINGE LÄN</t>
        </is>
      </c>
      <c r="G232" t="inlineStr">
        <is>
          <t>RONNEBY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46309</v>
      </c>
      <c r="F233" t="inlineStr">
        <is>
          <t>BLEKINGE LÄN</t>
        </is>
      </c>
      <c r="G233" t="inlineStr">
        <is>
          <t>RONNEBY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46309</v>
      </c>
      <c r="F234" t="inlineStr">
        <is>
          <t>BLEKINGE LÄN</t>
        </is>
      </c>
      <c r="G234" t="inlineStr">
        <is>
          <t>RONNEBY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46309</v>
      </c>
      <c r="F235" t="inlineStr">
        <is>
          <t>BLEKINGE LÄN</t>
        </is>
      </c>
      <c r="G235" t="inlineStr">
        <is>
          <t>RONNEBY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45739</v>
      </c>
      <c r="E236" s="1" t="n">
        <v>46309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46309</v>
      </c>
      <c r="F237" t="inlineStr">
        <is>
          <t>BLEKINGE LÄN</t>
        </is>
      </c>
      <c r="G237" t="inlineStr">
        <is>
          <t>RONNEBY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46309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46309</v>
      </c>
      <c r="F239" t="inlineStr">
        <is>
          <t>BLEKINGE LÄN</t>
        </is>
      </c>
      <c r="G239" t="inlineStr">
        <is>
          <t>RONNEBY</t>
        </is>
      </c>
      <c r="H239" t="inlineStr">
        <is>
          <t>Övriga Aktiebolag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46309</v>
      </c>
      <c r="F240" t="inlineStr">
        <is>
          <t>BLEKINGE LÄN</t>
        </is>
      </c>
      <c r="G240" t="inlineStr">
        <is>
          <t>RONNEBY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45975</v>
      </c>
      <c r="E241" s="1" t="n">
        <v>46309</v>
      </c>
      <c r="F241" t="inlineStr">
        <is>
          <t>BLEKINGE LÄN</t>
        </is>
      </c>
      <c r="G241" t="inlineStr">
        <is>
          <t>RONNEBY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46309</v>
      </c>
      <c r="F242" t="inlineStr">
        <is>
          <t>BLEKINGE LÄN</t>
        </is>
      </c>
      <c r="G242" t="inlineStr">
        <is>
          <t>RONNEBY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46309</v>
      </c>
      <c r="F243" t="inlineStr">
        <is>
          <t>BLEKINGE LÄN</t>
        </is>
      </c>
      <c r="G243" t="inlineStr">
        <is>
          <t>RONNEBY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46309</v>
      </c>
      <c r="F244" t="inlineStr">
        <is>
          <t>BLEKINGE LÄN</t>
        </is>
      </c>
      <c r="G244" t="inlineStr">
        <is>
          <t>RONNEBY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45085</v>
      </c>
      <c r="E245" s="1" t="n">
        <v>46309</v>
      </c>
      <c r="F245" t="inlineStr">
        <is>
          <t>BLEKINGE LÄN</t>
        </is>
      </c>
      <c r="G245" t="inlineStr">
        <is>
          <t>RONNEBY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46309</v>
      </c>
      <c r="F246" t="inlineStr">
        <is>
          <t>BLEKINGE LÄN</t>
        </is>
      </c>
      <c r="G246" t="inlineStr">
        <is>
          <t>RONNEBY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45009</v>
      </c>
      <c r="E247" s="1" t="n">
        <v>46309</v>
      </c>
      <c r="F247" t="inlineStr">
        <is>
          <t>BLEKINGE LÄN</t>
        </is>
      </c>
      <c r="G247" t="inlineStr">
        <is>
          <t>RONNEBY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45009</v>
      </c>
      <c r="E248" s="1" t="n">
        <v>46309</v>
      </c>
      <c r="F248" t="inlineStr">
        <is>
          <t>BLEKINGE LÄN</t>
        </is>
      </c>
      <c r="G248" t="inlineStr">
        <is>
          <t>RONNEBY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58648-2025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45986</v>
      </c>
      <c r="E249" s="1" t="n">
        <v>46309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46309</v>
      </c>
      <c r="F250" t="inlineStr">
        <is>
          <t>BLEKINGE LÄN</t>
        </is>
      </c>
      <c r="G250" t="inlineStr">
        <is>
          <t>RONNEBY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45012</v>
      </c>
      <c r="E251" s="1" t="n">
        <v>46309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statliga verk och myndigheter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46309</v>
      </c>
      <c r="F252" t="inlineStr">
        <is>
          <t>BLEKINGE LÄN</t>
        </is>
      </c>
      <c r="G252" t="inlineStr">
        <is>
          <t>RONNEBY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46309</v>
      </c>
      <c r="F253" t="inlineStr">
        <is>
          <t>BLEKINGE LÄN</t>
        </is>
      </c>
      <c r="G253" t="inlineStr">
        <is>
          <t>RONNEBY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7508-2026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46309</v>
      </c>
      <c r="F254" t="inlineStr">
        <is>
          <t>BLEKINGE LÄN</t>
        </is>
      </c>
      <c r="G254" t="inlineStr">
        <is>
          <t>RONNEBY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46059</v>
      </c>
      <c r="E255" s="1" t="n">
        <v>46309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46309</v>
      </c>
      <c r="F256" t="inlineStr">
        <is>
          <t>BLEKINGE LÄN</t>
        </is>
      </c>
      <c r="G256" t="inlineStr">
        <is>
          <t>RONNEBY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46309</v>
      </c>
      <c r="F257" t="inlineStr">
        <is>
          <t>BLEKINGE LÄN</t>
        </is>
      </c>
      <c r="G257" t="inlineStr">
        <is>
          <t>RONNEBY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46309</v>
      </c>
      <c r="F258" t="inlineStr">
        <is>
          <t>BLEKINGE LÄN</t>
        </is>
      </c>
      <c r="G258" t="inlineStr">
        <is>
          <t>RONNEBY</t>
        </is>
      </c>
      <c r="I258" t="n">
        <v>14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46309</v>
      </c>
      <c r="F259" t="inlineStr">
        <is>
          <t>BLEKINGE LÄN</t>
        </is>
      </c>
      <c r="G259" t="inlineStr">
        <is>
          <t>RONNEBY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46309</v>
      </c>
      <c r="F260" t="inlineStr">
        <is>
          <t>BLEKINGE LÄN</t>
        </is>
      </c>
      <c r="G260" t="inlineStr">
        <is>
          <t>RONNEBY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28896-2024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45480</v>
      </c>
      <c r="E261" s="1" t="n">
        <v>46309</v>
      </c>
      <c r="F261" t="inlineStr">
        <is>
          <t>BLEKINGE LÄN</t>
        </is>
      </c>
      <c r="G261" t="inlineStr">
        <is>
          <t>RONNEBY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46309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46309</v>
      </c>
      <c r="F263" t="inlineStr">
        <is>
          <t>BLEKINGE LÄN</t>
        </is>
      </c>
      <c r="G263" t="inlineStr">
        <is>
          <t>RONNEBY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46309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46309</v>
      </c>
      <c r="F265" t="inlineStr">
        <is>
          <t>BLEKINGE LÄN</t>
        </is>
      </c>
      <c r="G265" t="inlineStr">
        <is>
          <t>RONNEBY</t>
        </is>
      </c>
      <c r="H265" t="inlineStr">
        <is>
          <t>Övriga Aktiebolag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45061</v>
      </c>
      <c r="E266" s="1" t="n">
        <v>46309</v>
      </c>
      <c r="F266" t="inlineStr">
        <is>
          <t>BLEKINGE LÄN</t>
        </is>
      </c>
      <c r="G266" t="inlineStr">
        <is>
          <t>RONNEBY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44713</v>
      </c>
      <c r="E267" s="1" t="n">
        <v>46309</v>
      </c>
      <c r="F267" t="inlineStr">
        <is>
          <t>BLEKINGE LÄN</t>
        </is>
      </c>
      <c r="G267" t="inlineStr">
        <is>
          <t>RONNEBY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46309</v>
      </c>
      <c r="F268" t="inlineStr">
        <is>
          <t>BLEKINGE LÄN</t>
        </is>
      </c>
      <c r="G268" t="inlineStr">
        <is>
          <t>RONNEBY</t>
        </is>
      </c>
      <c r="H268" t="inlineStr">
        <is>
          <t>Kyrkan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46309</v>
      </c>
      <c r="F269" t="inlineStr">
        <is>
          <t>BLEKINGE LÄN</t>
        </is>
      </c>
      <c r="G269" t="inlineStr">
        <is>
          <t>RONNEBY</t>
        </is>
      </c>
      <c r="H269" t="inlineStr">
        <is>
          <t>Kyrkan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46309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46078</v>
      </c>
      <c r="E271" s="1" t="n">
        <v>46309</v>
      </c>
      <c r="F271" t="inlineStr">
        <is>
          <t>BLEKINGE LÄN</t>
        </is>
      </c>
      <c r="G271" t="inlineStr">
        <is>
          <t>RONNEBY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46078</v>
      </c>
      <c r="E272" s="1" t="n">
        <v>46309</v>
      </c>
      <c r="F272" t="inlineStr">
        <is>
          <t>BLEKINGE LÄN</t>
        </is>
      </c>
      <c r="G272" t="inlineStr">
        <is>
          <t>RONNEBY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46309</v>
      </c>
      <c r="F273" t="inlineStr">
        <is>
          <t>BLEKINGE LÄN</t>
        </is>
      </c>
      <c r="G273" t="inlineStr">
        <is>
          <t>RONNEBY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46309</v>
      </c>
      <c r="F274" t="inlineStr">
        <is>
          <t>BLEKINGE LÄN</t>
        </is>
      </c>
      <c r="G274" t="inlineStr">
        <is>
          <t>RONNEBY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46309</v>
      </c>
      <c r="F275" t="inlineStr">
        <is>
          <t>BLEKINGE LÄN</t>
        </is>
      </c>
      <c r="G275" t="inlineStr">
        <is>
          <t>RONNEBY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46309</v>
      </c>
      <c r="F276" t="inlineStr">
        <is>
          <t>BLEKINGE LÄN</t>
        </is>
      </c>
      <c r="G276" t="inlineStr">
        <is>
          <t>RONNEBY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45001</v>
      </c>
      <c r="E277" s="1" t="n">
        <v>46309</v>
      </c>
      <c r="F277" t="inlineStr">
        <is>
          <t>BLEKINGE LÄN</t>
        </is>
      </c>
      <c r="G277" t="inlineStr">
        <is>
          <t>RONNEBY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62465-2025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46007</v>
      </c>
      <c r="E278" s="1" t="n">
        <v>46309</v>
      </c>
      <c r="F278" t="inlineStr">
        <is>
          <t>BLEKINGE LÄN</t>
        </is>
      </c>
      <c r="G278" t="inlineStr">
        <is>
          <t>RONNEBY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62427-2025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46309</v>
      </c>
      <c r="F279" t="inlineStr">
        <is>
          <t>BLEKINGE LÄN</t>
        </is>
      </c>
      <c r="G279" t="inlineStr">
        <is>
          <t>RONNEBY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46309</v>
      </c>
      <c r="F280" t="inlineStr">
        <is>
          <t>BLEKINGE LÄN</t>
        </is>
      </c>
      <c r="G280" t="inlineStr">
        <is>
          <t>RONNEBY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45178</v>
      </c>
      <c r="E281" s="1" t="n">
        <v>46309</v>
      </c>
      <c r="F281" t="inlineStr">
        <is>
          <t>BLEKINGE LÄN</t>
        </is>
      </c>
      <c r="G281" t="inlineStr">
        <is>
          <t>RONNEBY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45757</v>
      </c>
      <c r="E282" s="1" t="n">
        <v>46309</v>
      </c>
      <c r="F282" t="inlineStr">
        <is>
          <t>BLEKINGE LÄN</t>
        </is>
      </c>
      <c r="G282" t="inlineStr">
        <is>
          <t>RONNEBY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46309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46086</v>
      </c>
      <c r="E284" s="1" t="n">
        <v>46309</v>
      </c>
      <c r="F284" t="inlineStr">
        <is>
          <t>BLEKINGE LÄN</t>
        </is>
      </c>
      <c r="G284" t="inlineStr">
        <is>
          <t>RONNEBY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46086</v>
      </c>
      <c r="E285" s="1" t="n">
        <v>46309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44822</v>
      </c>
      <c r="E286" s="1" t="n">
        <v>46309</v>
      </c>
      <c r="F286" t="inlineStr">
        <is>
          <t>BLEKINGE LÄN</t>
        </is>
      </c>
      <c r="G286" t="inlineStr">
        <is>
          <t>RONNEBY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44987</v>
      </c>
      <c r="E287" s="1" t="n">
        <v>46309</v>
      </c>
      <c r="F287" t="inlineStr">
        <is>
          <t>BLEKINGE LÄN</t>
        </is>
      </c>
      <c r="G287" t="inlineStr">
        <is>
          <t>RONNEBY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44739</v>
      </c>
      <c r="E288" s="1" t="n">
        <v>46309</v>
      </c>
      <c r="F288" t="inlineStr">
        <is>
          <t>BLEKINGE LÄN</t>
        </is>
      </c>
      <c r="G288" t="inlineStr">
        <is>
          <t>RONNEBY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45482</v>
      </c>
      <c r="E289" s="1" t="n">
        <v>46309</v>
      </c>
      <c r="F289" t="inlineStr">
        <is>
          <t>BLEKINGE LÄN</t>
        </is>
      </c>
      <c r="G289" t="inlineStr">
        <is>
          <t>RONNEBY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15206-2026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46309</v>
      </c>
      <c r="F290" t="inlineStr">
        <is>
          <t>BLEKINGE LÄN</t>
        </is>
      </c>
      <c r="G290" t="inlineStr">
        <is>
          <t>RONNEBY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46309</v>
      </c>
      <c r="F291" t="inlineStr">
        <is>
          <t>BLEKINGE LÄN</t>
        </is>
      </c>
      <c r="G291" t="inlineStr">
        <is>
          <t>RONNEBY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46309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45367-2023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45193</v>
      </c>
      <c r="E293" s="1" t="n">
        <v>46309</v>
      </c>
      <c r="F293" t="inlineStr">
        <is>
          <t>BLEKINGE LÄN</t>
        </is>
      </c>
      <c r="G293" t="inlineStr">
        <is>
          <t>RONNEBY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46309</v>
      </c>
      <c r="F294" t="inlineStr">
        <is>
          <t>BLEKINGE LÄN</t>
        </is>
      </c>
      <c r="G294" t="inlineStr">
        <is>
          <t>RONNEBY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46309</v>
      </c>
      <c r="F295" t="inlineStr">
        <is>
          <t>BLEKINGE LÄN</t>
        </is>
      </c>
      <c r="G295" t="inlineStr">
        <is>
          <t>RONNEBY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46309</v>
      </c>
      <c r="F296" t="inlineStr">
        <is>
          <t>BLEKINGE LÄN</t>
        </is>
      </c>
      <c r="G296" t="inlineStr">
        <is>
          <t>RONNEBY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46309</v>
      </c>
      <c r="F297" t="inlineStr">
        <is>
          <t>BLEKINGE LÄN</t>
        </is>
      </c>
      <c r="G297" t="inlineStr">
        <is>
          <t>RONNEBY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28704-2022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44748</v>
      </c>
      <c r="E298" s="1" t="n">
        <v>46309</v>
      </c>
      <c r="F298" t="inlineStr">
        <is>
          <t>BLEKINGE LÄN</t>
        </is>
      </c>
      <c r="G298" t="inlineStr">
        <is>
          <t>RONNEBY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45743</v>
      </c>
      <c r="E299" s="1" t="n">
        <v>46309</v>
      </c>
      <c r="F299" t="inlineStr">
        <is>
          <t>BLEKINGE LÄN</t>
        </is>
      </c>
      <c r="G299" t="inlineStr">
        <is>
          <t>RONNEBY</t>
        </is>
      </c>
      <c r="H299" t="inlineStr">
        <is>
          <t>Kommuner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46309</v>
      </c>
      <c r="F300" t="inlineStr">
        <is>
          <t>BLEKINGE LÄN</t>
        </is>
      </c>
      <c r="G300" t="inlineStr">
        <is>
          <t>RONNEBY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46309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44916</v>
      </c>
      <c r="E302" s="1" t="n">
        <v>46309</v>
      </c>
      <c r="F302" t="inlineStr">
        <is>
          <t>BLEKINGE LÄN</t>
        </is>
      </c>
      <c r="G302" t="inlineStr">
        <is>
          <t>RONNEBY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44862</v>
      </c>
      <c r="E303" s="1" t="n">
        <v>46309</v>
      </c>
      <c r="F303" t="inlineStr">
        <is>
          <t>BLEKINGE LÄN</t>
        </is>
      </c>
      <c r="G303" t="inlineStr">
        <is>
          <t>RONNEBY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46119</v>
      </c>
      <c r="E304" s="1" t="n">
        <v>46309</v>
      </c>
      <c r="F304" t="inlineStr">
        <is>
          <t>BLEKINGE LÄN</t>
        </is>
      </c>
      <c r="G304" t="inlineStr">
        <is>
          <t>RONNEBY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46309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46309</v>
      </c>
      <c r="F306" t="inlineStr">
        <is>
          <t>BLEKINGE LÄN</t>
        </is>
      </c>
      <c r="G306" t="inlineStr">
        <is>
          <t>RONNEBY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46126</v>
      </c>
      <c r="E307" s="1" t="n">
        <v>46309</v>
      </c>
      <c r="F307" t="inlineStr">
        <is>
          <t>BLEKINGE LÄN</t>
        </is>
      </c>
      <c r="G307" t="inlineStr">
        <is>
          <t>RONNEBY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45090</v>
      </c>
      <c r="E308" s="1" t="n">
        <v>46309</v>
      </c>
      <c r="F308" t="inlineStr">
        <is>
          <t>BLEKINGE LÄN</t>
        </is>
      </c>
      <c r="G308" t="inlineStr">
        <is>
          <t>RONNEBY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44882</v>
      </c>
      <c r="E309" s="1" t="n">
        <v>46309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46309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53817-2022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44880</v>
      </c>
      <c r="E311" s="1" t="n">
        <v>46309</v>
      </c>
      <c r="F311" t="inlineStr">
        <is>
          <t>BLEKINGE LÄN</t>
        </is>
      </c>
      <c r="G311" t="inlineStr">
        <is>
          <t>RONNEBY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46309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19464-2026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46309</v>
      </c>
      <c r="F313" t="inlineStr">
        <is>
          <t>BLEKINGE LÄN</t>
        </is>
      </c>
      <c r="G313" t="inlineStr">
        <is>
          <t>RONNEBY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46309</v>
      </c>
      <c r="F314" t="inlineStr">
        <is>
          <t>BLEKINGE LÄN</t>
        </is>
      </c>
      <c r="G314" t="inlineStr">
        <is>
          <t>RONNEBY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46309</v>
      </c>
      <c r="F315" t="inlineStr">
        <is>
          <t>BLEKINGE LÄN</t>
        </is>
      </c>
      <c r="G315" t="inlineStr">
        <is>
          <t>RONNEBY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54248-2025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45964</v>
      </c>
      <c r="E316" s="1" t="n">
        <v>46309</v>
      </c>
      <c r="F316" t="inlineStr">
        <is>
          <t>BLEKINGE LÄN</t>
        </is>
      </c>
      <c r="G316" t="inlineStr">
        <is>
          <t>RONNEBY</t>
        </is>
      </c>
      <c r="H316" t="inlineStr">
        <is>
          <t>Kommuner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45677</v>
      </c>
      <c r="E317" s="1" t="n">
        <v>46309</v>
      </c>
      <c r="F317" t="inlineStr">
        <is>
          <t>BLEKINGE LÄN</t>
        </is>
      </c>
      <c r="G317" t="inlineStr">
        <is>
          <t>RONNEBY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46309</v>
      </c>
      <c r="F318" t="inlineStr">
        <is>
          <t>BLEKINGE LÄN</t>
        </is>
      </c>
      <c r="G318" t="inlineStr">
        <is>
          <t>RONNEBY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46309</v>
      </c>
      <c r="F319" t="inlineStr">
        <is>
          <t>BLEKINGE LÄN</t>
        </is>
      </c>
      <c r="G319" t="inlineStr">
        <is>
          <t>RONNEBY</t>
        </is>
      </c>
      <c r="H319" t="inlineStr">
        <is>
          <t>Övriga Aktiebolag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45821</v>
      </c>
      <c r="E320" s="1" t="n">
        <v>46309</v>
      </c>
      <c r="F320" t="inlineStr">
        <is>
          <t>BLEKINGE LÄN</t>
        </is>
      </c>
      <c r="G320" t="inlineStr">
        <is>
          <t>RONNEBY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46309</v>
      </c>
      <c r="F321" t="inlineStr">
        <is>
          <t>BLEKINGE LÄN</t>
        </is>
      </c>
      <c r="G321" t="inlineStr">
        <is>
          <t>RONNEBY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45673</v>
      </c>
      <c r="E322" s="1" t="n">
        <v>46309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46309</v>
      </c>
      <c r="F323" t="inlineStr">
        <is>
          <t>BLEKINGE LÄN</t>
        </is>
      </c>
      <c r="G323" t="inlineStr">
        <is>
          <t>RONNEBY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47160-2025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46309</v>
      </c>
      <c r="F324" t="inlineStr">
        <is>
          <t>BLEKINGE LÄN</t>
        </is>
      </c>
      <c r="G324" t="inlineStr">
        <is>
          <t>RONNEBY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46309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46309</v>
      </c>
      <c r="F326" t="inlineStr">
        <is>
          <t>BLEKINGE LÄN</t>
        </is>
      </c>
      <c r="G326" t="inlineStr">
        <is>
          <t>RONNEBY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45625</v>
      </c>
      <c r="E327" s="1" t="n">
        <v>46309</v>
      </c>
      <c r="F327" t="inlineStr">
        <is>
          <t>BLEKINGE LÄN</t>
        </is>
      </c>
      <c r="G327" t="inlineStr">
        <is>
          <t>RONNEBY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46309</v>
      </c>
      <c r="F328" t="inlineStr">
        <is>
          <t>BLEKINGE LÄN</t>
        </is>
      </c>
      <c r="G328" t="inlineStr">
        <is>
          <t>RONNEBY</t>
        </is>
      </c>
      <c r="H328" t="inlineStr">
        <is>
          <t>Övriga Aktiebolag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45303</v>
      </c>
      <c r="E329" s="1" t="n">
        <v>46309</v>
      </c>
      <c r="F329" t="inlineStr">
        <is>
          <t>BLEKINGE LÄN</t>
        </is>
      </c>
      <c r="G329" t="inlineStr">
        <is>
          <t>RONNEBY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46309</v>
      </c>
      <c r="F330" t="inlineStr">
        <is>
          <t>BLEKINGE LÄN</t>
        </is>
      </c>
      <c r="G330" t="inlineStr">
        <is>
          <t>RONNEBY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46309</v>
      </c>
      <c r="F331" t="inlineStr">
        <is>
          <t>BLEKINGE LÄN</t>
        </is>
      </c>
      <c r="G331" t="inlineStr">
        <is>
          <t>RONNEBY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46309</v>
      </c>
      <c r="F332" t="inlineStr">
        <is>
          <t>BLEKINGE LÄN</t>
        </is>
      </c>
      <c r="G332" t="inlineStr">
        <is>
          <t>RONNEBY</t>
        </is>
      </c>
      <c r="I332" t="n">
        <v>12.6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46309</v>
      </c>
      <c r="F333" t="inlineStr">
        <is>
          <t>BLEKINGE LÄN</t>
        </is>
      </c>
      <c r="G333" t="inlineStr">
        <is>
          <t>RONNEBY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39426-2025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46309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45341</v>
      </c>
      <c r="E335" s="1" t="n">
        <v>46309</v>
      </c>
      <c r="F335" t="inlineStr">
        <is>
          <t>BLEKINGE LÄN</t>
        </is>
      </c>
      <c r="G335" t="inlineStr">
        <is>
          <t>RONNEBY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46309</v>
      </c>
      <c r="F336" t="inlineStr">
        <is>
          <t>BLEKINGE LÄN</t>
        </is>
      </c>
      <c r="G336" t="inlineStr">
        <is>
          <t>RONNEBY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46309</v>
      </c>
      <c r="F337" t="inlineStr">
        <is>
          <t>BLEKINGE LÄN</t>
        </is>
      </c>
      <c r="G337" t="inlineStr">
        <is>
          <t>RONNEBY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46309</v>
      </c>
      <c r="F338" t="inlineStr">
        <is>
          <t>BLEKINGE LÄN</t>
        </is>
      </c>
      <c r="G338" t="inlineStr">
        <is>
          <t>RONNEBY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45342</v>
      </c>
      <c r="E339" s="1" t="n">
        <v>46309</v>
      </c>
      <c r="F339" t="inlineStr">
        <is>
          <t>BLEKINGE LÄN</t>
        </is>
      </c>
      <c r="G339" t="inlineStr">
        <is>
          <t>RONNEBY</t>
        </is>
      </c>
      <c r="I339" t="n">
        <v>15.2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45139</v>
      </c>
      <c r="E340" s="1" t="n">
        <v>46309</v>
      </c>
      <c r="F340" t="inlineStr">
        <is>
          <t>BLEKINGE LÄN</t>
        </is>
      </c>
      <c r="G340" t="inlineStr">
        <is>
          <t>RONNEBY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46309</v>
      </c>
      <c r="F341" t="inlineStr">
        <is>
          <t>BLEKINGE LÄN</t>
        </is>
      </c>
      <c r="G341" t="inlineStr">
        <is>
          <t>RONNEBY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46309</v>
      </c>
      <c r="F342" t="inlineStr">
        <is>
          <t>BLEKINGE LÄN</t>
        </is>
      </c>
      <c r="G342" t="inlineStr">
        <is>
          <t>RONNEBY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32537-2023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45110</v>
      </c>
      <c r="E343" s="1" t="n">
        <v>46309</v>
      </c>
      <c r="F343" t="inlineStr">
        <is>
          <t>BLEKINGE LÄN</t>
        </is>
      </c>
      <c r="G343" t="inlineStr">
        <is>
          <t>RONNEBY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46309</v>
      </c>
      <c r="F344" t="inlineStr">
        <is>
          <t>BLEKINGE LÄN</t>
        </is>
      </c>
      <c r="G344" t="inlineStr">
        <is>
          <t>RONNEBY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46309</v>
      </c>
      <c r="F345" t="inlineStr">
        <is>
          <t>BLEKINGE LÄN</t>
        </is>
      </c>
      <c r="G345" t="inlineStr">
        <is>
          <t>RONNEBY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45891</v>
      </c>
      <c r="E346" s="1" t="n">
        <v>46309</v>
      </c>
      <c r="F346" t="inlineStr">
        <is>
          <t>BLEKINGE LÄN</t>
        </is>
      </c>
      <c r="G346" t="inlineStr">
        <is>
          <t>RONNEBY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45891</v>
      </c>
      <c r="E347" s="1" t="n">
        <v>46309</v>
      </c>
      <c r="F347" t="inlineStr">
        <is>
          <t>BLEKINGE LÄN</t>
        </is>
      </c>
      <c r="G347" t="inlineStr">
        <is>
          <t>RONNEBY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46309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46309</v>
      </c>
      <c r="F349" t="inlineStr">
        <is>
          <t>BLEKINGE LÄN</t>
        </is>
      </c>
      <c r="G349" t="inlineStr">
        <is>
          <t>RONNEBY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21206-2023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45062</v>
      </c>
      <c r="E350" s="1" t="n">
        <v>46309</v>
      </c>
      <c r="F350" t="inlineStr">
        <is>
          <t>BLEKINGE LÄN</t>
        </is>
      </c>
      <c r="G350" t="inlineStr">
        <is>
          <t>RONNEBY</t>
        </is>
      </c>
      <c r="H350" t="inlineStr">
        <is>
          <t>Kommuner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44753</v>
      </c>
      <c r="E351" s="1" t="n">
        <v>46309</v>
      </c>
      <c r="F351" t="inlineStr">
        <is>
          <t>BLEKINGE LÄN</t>
        </is>
      </c>
      <c r="G351" t="inlineStr">
        <is>
          <t>RONNEBY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13224-2023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45002</v>
      </c>
      <c r="E352" s="1" t="n">
        <v>46309</v>
      </c>
      <c r="F352" t="inlineStr">
        <is>
          <t>BLEKINGE LÄN</t>
        </is>
      </c>
      <c r="G352" t="inlineStr">
        <is>
          <t>RONNEBY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46309</v>
      </c>
      <c r="F353" t="inlineStr">
        <is>
          <t>BLEKINGE LÄN</t>
        </is>
      </c>
      <c r="G353" t="inlineStr">
        <is>
          <t>RONNEBY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46309</v>
      </c>
      <c r="F354" t="inlineStr">
        <is>
          <t>BLEKINGE LÄN</t>
        </is>
      </c>
      <c r="G354" t="inlineStr">
        <is>
          <t>RONNEBY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46309</v>
      </c>
      <c r="F355" t="inlineStr">
        <is>
          <t>BLEKINGE LÄN</t>
        </is>
      </c>
      <c r="G355" t="inlineStr">
        <is>
          <t>RONNEBY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46309</v>
      </c>
      <c r="F356" t="inlineStr">
        <is>
          <t>BLEKINGE LÄN</t>
        </is>
      </c>
      <c r="G356" t="inlineStr">
        <is>
          <t>RONNEBY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20549-2026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46309</v>
      </c>
      <c r="F357" t="inlineStr">
        <is>
          <t>BLEKINGE LÄN</t>
        </is>
      </c>
      <c r="G357" t="inlineStr">
        <is>
          <t>RONNEBY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36368-2023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45152</v>
      </c>
      <c r="E358" s="1" t="n">
        <v>46309</v>
      </c>
      <c r="F358" t="inlineStr">
        <is>
          <t>BLEKINGE LÄN</t>
        </is>
      </c>
      <c r="G358" t="inlineStr">
        <is>
          <t>RONNEBY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46309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46309</v>
      </c>
      <c r="F360" t="inlineStr">
        <is>
          <t>BLEKINGE LÄN</t>
        </is>
      </c>
      <c r="G360" t="inlineStr">
        <is>
          <t>RONNEBY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46309</v>
      </c>
      <c r="F361" t="inlineStr">
        <is>
          <t>BLEKINGE LÄN</t>
        </is>
      </c>
      <c r="G361" t="inlineStr">
        <is>
          <t>RONNEBY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59840-2021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44494</v>
      </c>
      <c r="E362" s="1" t="n">
        <v>46309</v>
      </c>
      <c r="F362" t="inlineStr">
        <is>
          <t>BLEKINGE LÄN</t>
        </is>
      </c>
      <c r="G362" t="inlineStr">
        <is>
          <t>RONNEBY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46309</v>
      </c>
      <c r="F363" t="inlineStr">
        <is>
          <t>BLEKINGE LÄN</t>
        </is>
      </c>
      <c r="G363" t="inlineStr">
        <is>
          <t>RONNEBY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46309</v>
      </c>
      <c r="F364" t="inlineStr">
        <is>
          <t>BLEKINGE LÄN</t>
        </is>
      </c>
      <c r="G364" t="inlineStr">
        <is>
          <t>RONNEBY</t>
        </is>
      </c>
      <c r="H364" t="inlineStr">
        <is>
          <t>Övriga Aktiebolag</t>
        </is>
      </c>
      <c r="I364" t="n">
        <v>10.9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46309</v>
      </c>
      <c r="F365" t="inlineStr">
        <is>
          <t>BLEKINGE LÄN</t>
        </is>
      </c>
      <c r="G365" t="inlineStr">
        <is>
          <t>RONNEBY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46309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45115</v>
      </c>
      <c r="E367" s="1" t="n">
        <v>46309</v>
      </c>
      <c r="F367" t="inlineStr">
        <is>
          <t>BLEKINGE LÄN</t>
        </is>
      </c>
      <c r="G367" t="inlineStr">
        <is>
          <t>RONNEBY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46309</v>
      </c>
      <c r="F368" t="inlineStr">
        <is>
          <t>BLEKINGE LÄN</t>
        </is>
      </c>
      <c r="G368" t="inlineStr">
        <is>
          <t>RONNEBY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45545</v>
      </c>
      <c r="E369" s="1" t="n">
        <v>46309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45670</v>
      </c>
      <c r="E370" s="1" t="n">
        <v>46309</v>
      </c>
      <c r="F370" t="inlineStr">
        <is>
          <t>BLEKINGE LÄN</t>
        </is>
      </c>
      <c r="G370" t="inlineStr">
        <is>
          <t>RONNEBY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47775-2024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45588</v>
      </c>
      <c r="E371" s="1" t="n">
        <v>46309</v>
      </c>
      <c r="F371" t="inlineStr">
        <is>
          <t>BLEKINGE LÄN</t>
        </is>
      </c>
      <c r="G371" t="inlineStr">
        <is>
          <t>RONNEBY</t>
        </is>
      </c>
      <c r="H371" t="inlineStr">
        <is>
          <t>Kommuner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36202-2024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45534</v>
      </c>
      <c r="E372" s="1" t="n">
        <v>46309</v>
      </c>
      <c r="F372" t="inlineStr">
        <is>
          <t>BLEKINGE LÄN</t>
        </is>
      </c>
      <c r="G372" t="inlineStr">
        <is>
          <t>RONNEBY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31758-2023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45118</v>
      </c>
      <c r="E373" s="1" t="n">
        <v>46309</v>
      </c>
      <c r="F373" t="inlineStr">
        <is>
          <t>BLEKINGE LÄN</t>
        </is>
      </c>
      <c r="G373" t="inlineStr">
        <is>
          <t>RONNEBY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46147</v>
      </c>
      <c r="E374" s="1" t="n">
        <v>46309</v>
      </c>
      <c r="F374" t="inlineStr">
        <is>
          <t>BLEKINGE LÄN</t>
        </is>
      </c>
      <c r="G374" t="inlineStr">
        <is>
          <t>RONNEBY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46309</v>
      </c>
      <c r="F375" t="inlineStr">
        <is>
          <t>BLEKINGE LÄN</t>
        </is>
      </c>
      <c r="G375" t="inlineStr">
        <is>
          <t>RONNEBY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46309</v>
      </c>
      <c r="F376" t="inlineStr">
        <is>
          <t>BLEKINGE LÄN</t>
        </is>
      </c>
      <c r="G376" t="inlineStr">
        <is>
          <t>RONNEBY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21709-2026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46309</v>
      </c>
      <c r="F377" t="inlineStr">
        <is>
          <t>BLEKINGE LÄN</t>
        </is>
      </c>
      <c r="G377" t="inlineStr">
        <is>
          <t>RONNEBY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46309</v>
      </c>
      <c r="F378" t="inlineStr">
        <is>
          <t>BLEKINGE LÄN</t>
        </is>
      </c>
      <c r="G378" t="inlineStr">
        <is>
          <t>RONNEBY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46309</v>
      </c>
      <c r="F379" t="inlineStr">
        <is>
          <t>BLEKINGE LÄN</t>
        </is>
      </c>
      <c r="G379" t="inlineStr">
        <is>
          <t>RONNEBY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46309</v>
      </c>
      <c r="F380" t="inlineStr">
        <is>
          <t>BLEKINGE LÄN</t>
        </is>
      </c>
      <c r="G380" t="inlineStr">
        <is>
          <t>RONNEBY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46309</v>
      </c>
      <c r="F381" t="inlineStr">
        <is>
          <t>BLEKINGE LÄN</t>
        </is>
      </c>
      <c r="G381" t="inlineStr">
        <is>
          <t>RONNEBY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45076</v>
      </c>
      <c r="E382" s="1" t="n">
        <v>46309</v>
      </c>
      <c r="F382" t="inlineStr">
        <is>
          <t>BLEKINGE LÄN</t>
        </is>
      </c>
      <c r="G382" t="inlineStr">
        <is>
          <t>RONNEBY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44606</v>
      </c>
      <c r="E383" s="1" t="n">
        <v>46309</v>
      </c>
      <c r="F383" t="inlineStr">
        <is>
          <t>BLEKINGE LÄN</t>
        </is>
      </c>
      <c r="G383" t="inlineStr">
        <is>
          <t>RONNEBY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46309</v>
      </c>
      <c r="F384" t="inlineStr">
        <is>
          <t>BLEKINGE LÄN</t>
        </is>
      </c>
      <c r="G384" t="inlineStr">
        <is>
          <t>RONNEBY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44829</v>
      </c>
      <c r="E385" s="1" t="n">
        <v>46309</v>
      </c>
      <c r="F385" t="inlineStr">
        <is>
          <t>BLEKINGE LÄN</t>
        </is>
      </c>
      <c r="G385" t="inlineStr">
        <is>
          <t>RONNEBY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46309</v>
      </c>
      <c r="F386" t="inlineStr">
        <is>
          <t>BLEKINGE LÄN</t>
        </is>
      </c>
      <c r="G386" t="inlineStr">
        <is>
          <t>RONNEBY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30507-2022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44762</v>
      </c>
      <c r="E387" s="1" t="n">
        <v>46309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33535-2025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45841</v>
      </c>
      <c r="E388" s="1" t="n">
        <v>46309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15196-2022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44658</v>
      </c>
      <c r="E389" s="1" t="n">
        <v>46309</v>
      </c>
      <c r="F389" t="inlineStr">
        <is>
          <t>BLEKINGE LÄN</t>
        </is>
      </c>
      <c r="G389" t="inlineStr">
        <is>
          <t>RONNEBY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45646</v>
      </c>
      <c r="E390" s="1" t="n">
        <v>46309</v>
      </c>
      <c r="F390" t="inlineStr">
        <is>
          <t>BLEKINGE LÄN</t>
        </is>
      </c>
      <c r="G390" t="inlineStr">
        <is>
          <t>RONNEBY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46309</v>
      </c>
      <c r="F391" t="inlineStr">
        <is>
          <t>BLEKINGE LÄN</t>
        </is>
      </c>
      <c r="G391" t="inlineStr">
        <is>
          <t>RONNEBY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46309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44565</v>
      </c>
      <c r="E393" s="1" t="n">
        <v>46309</v>
      </c>
      <c r="F393" t="inlineStr">
        <is>
          <t>BLEKINGE LÄN</t>
        </is>
      </c>
      <c r="G393" t="inlineStr">
        <is>
          <t>RONNEBY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46309</v>
      </c>
      <c r="F394" t="inlineStr">
        <is>
          <t>BLEKINGE LÄN</t>
        </is>
      </c>
      <c r="G394" t="inlineStr">
        <is>
          <t>RONNEBY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46309</v>
      </c>
      <c r="F395" t="inlineStr">
        <is>
          <t>BLEKINGE LÄN</t>
        </is>
      </c>
      <c r="G395" t="inlineStr">
        <is>
          <t>RONNEBY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45201</v>
      </c>
      <c r="E396" s="1" t="n">
        <v>46309</v>
      </c>
      <c r="F396" t="inlineStr">
        <is>
          <t>BLEKINGE LÄN</t>
        </is>
      </c>
      <c r="G396" t="inlineStr">
        <is>
          <t>RONNEBY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46309</v>
      </c>
      <c r="F397" t="inlineStr">
        <is>
          <t>BLEKINGE LÄN</t>
        </is>
      </c>
      <c r="G397" t="inlineStr">
        <is>
          <t>RONNEBY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26644-2022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46309</v>
      </c>
      <c r="F398" t="inlineStr">
        <is>
          <t>BLEKINGE LÄN</t>
        </is>
      </c>
      <c r="G398" t="inlineStr">
        <is>
          <t>RONNEBY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45440</v>
      </c>
      <c r="E399" s="1" t="n">
        <v>46309</v>
      </c>
      <c r="F399" t="inlineStr">
        <is>
          <t>BLEKINGE LÄN</t>
        </is>
      </c>
      <c r="G399" t="inlineStr">
        <is>
          <t>RONNEBY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45432</v>
      </c>
      <c r="E400" s="1" t="n">
        <v>46309</v>
      </c>
      <c r="F400" t="inlineStr">
        <is>
          <t>BLEKINGE LÄN</t>
        </is>
      </c>
      <c r="G400" t="inlineStr">
        <is>
          <t>RONNEBY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45428</v>
      </c>
      <c r="E401" s="1" t="n">
        <v>46309</v>
      </c>
      <c r="F401" t="inlineStr">
        <is>
          <t>BLEKINGE LÄN</t>
        </is>
      </c>
      <c r="G401" t="inlineStr">
        <is>
          <t>RONNEBY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46309</v>
      </c>
      <c r="F402" t="inlineStr">
        <is>
          <t>BLEKINGE LÄN</t>
        </is>
      </c>
      <c r="G402" t="inlineStr">
        <is>
          <t>RONNEBY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46309</v>
      </c>
      <c r="F403" t="inlineStr">
        <is>
          <t>BLEKINGE LÄN</t>
        </is>
      </c>
      <c r="G403" t="inlineStr">
        <is>
          <t>RONNEBY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46309</v>
      </c>
      <c r="F404" t="inlineStr">
        <is>
          <t>BLEKINGE LÄN</t>
        </is>
      </c>
      <c r="G404" t="inlineStr">
        <is>
          <t>RONNEBY</t>
        </is>
      </c>
      <c r="H404" t="inlineStr">
        <is>
          <t>Övriga Aktiebolag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44586</v>
      </c>
      <c r="E405" s="1" t="n">
        <v>46309</v>
      </c>
      <c r="F405" t="inlineStr">
        <is>
          <t>BLEKINGE LÄN</t>
        </is>
      </c>
      <c r="G405" t="inlineStr">
        <is>
          <t>RONNEBY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29430-2022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44753</v>
      </c>
      <c r="E406" s="1" t="n">
        <v>46309</v>
      </c>
      <c r="F406" t="inlineStr">
        <is>
          <t>BLEKINGE LÄN</t>
        </is>
      </c>
      <c r="G406" t="inlineStr">
        <is>
          <t>RONNEBY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55079-2023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45237</v>
      </c>
      <c r="E407" s="1" t="n">
        <v>46309</v>
      </c>
      <c r="F407" t="inlineStr">
        <is>
          <t>BLEKINGE LÄN</t>
        </is>
      </c>
      <c r="G407" t="inlineStr">
        <is>
          <t>RONNEBY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25077-2022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44729</v>
      </c>
      <c r="E408" s="1" t="n">
        <v>46309</v>
      </c>
      <c r="F408" t="inlineStr">
        <is>
          <t>BLEKINGE LÄN</t>
        </is>
      </c>
      <c r="G408" t="inlineStr">
        <is>
          <t>RONNEBY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46309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45702</v>
      </c>
      <c r="E410" s="1" t="n">
        <v>46309</v>
      </c>
      <c r="F410" t="inlineStr">
        <is>
          <t>BLEKINGE LÄN</t>
        </is>
      </c>
      <c r="G410" t="inlineStr">
        <is>
          <t>RONNEBY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45201</v>
      </c>
      <c r="E411" s="1" t="n">
        <v>46309</v>
      </c>
      <c r="F411" t="inlineStr">
        <is>
          <t>BLEKINGE LÄN</t>
        </is>
      </c>
      <c r="G411" t="inlineStr">
        <is>
          <t>RONNEBY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45724</v>
      </c>
      <c r="E412" s="1" t="n">
        <v>46309</v>
      </c>
      <c r="F412" t="inlineStr">
        <is>
          <t>BLEKINGE LÄN</t>
        </is>
      </c>
      <c r="G412" t="inlineStr">
        <is>
          <t>RONNEBY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46309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44819</v>
      </c>
      <c r="E414" s="1" t="n">
        <v>46309</v>
      </c>
      <c r="F414" t="inlineStr">
        <is>
          <t>BLEKINGE LÄN</t>
        </is>
      </c>
      <c r="G414" t="inlineStr">
        <is>
          <t>RONNEBY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46309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45195</v>
      </c>
      <c r="E416" s="1" t="n">
        <v>46309</v>
      </c>
      <c r="F416" t="inlineStr">
        <is>
          <t>BLEKINGE LÄN</t>
        </is>
      </c>
      <c r="G416" t="inlineStr">
        <is>
          <t>RONNEBY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46309</v>
      </c>
      <c r="F417" t="inlineStr">
        <is>
          <t>BLEKINGE LÄN</t>
        </is>
      </c>
      <c r="G417" t="inlineStr">
        <is>
          <t>RONNEBY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46309</v>
      </c>
      <c r="F418" t="inlineStr">
        <is>
          <t>BLEKINGE LÄN</t>
        </is>
      </c>
      <c r="G418" t="inlineStr">
        <is>
          <t>RONNEBY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46309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54536-2022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44882</v>
      </c>
      <c r="E420" s="1" t="n">
        <v>46309</v>
      </c>
      <c r="F420" t="inlineStr">
        <is>
          <t>BLEKINGE LÄN</t>
        </is>
      </c>
      <c r="G420" t="inlineStr">
        <is>
          <t>RONNEBY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41076-2023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46309</v>
      </c>
      <c r="F421" t="inlineStr">
        <is>
          <t>BLEKINGE LÄN</t>
        </is>
      </c>
      <c r="G421" t="inlineStr">
        <is>
          <t>RONNEBY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46309</v>
      </c>
      <c r="F422" t="inlineStr">
        <is>
          <t>BLEKINGE LÄN</t>
        </is>
      </c>
      <c r="G422" t="inlineStr">
        <is>
          <t>RONNEBY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46309</v>
      </c>
      <c r="F423" t="inlineStr">
        <is>
          <t>BLEKINGE LÄN</t>
        </is>
      </c>
      <c r="G423" t="inlineStr">
        <is>
          <t>RONNEBY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45460</v>
      </c>
      <c r="E424" s="1" t="n">
        <v>46309</v>
      </c>
      <c r="F424" t="inlineStr">
        <is>
          <t>BLEKINGE LÄN</t>
        </is>
      </c>
      <c r="G424" t="inlineStr">
        <is>
          <t>RONNEBY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26706-2026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46309</v>
      </c>
      <c r="F425" t="inlineStr">
        <is>
          <t>BLEKINGE LÄN</t>
        </is>
      </c>
      <c r="G425" t="inlineStr">
        <is>
          <t>RONNEBY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26779-2026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46309</v>
      </c>
      <c r="F426" t="inlineStr">
        <is>
          <t>BLEKINGE LÄN</t>
        </is>
      </c>
      <c r="G426" t="inlineStr">
        <is>
          <t>RONNEBY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46309</v>
      </c>
      <c r="F427" t="inlineStr">
        <is>
          <t>BLEKINGE LÄN</t>
        </is>
      </c>
      <c r="G427" t="inlineStr">
        <is>
          <t>RONNEBY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46309</v>
      </c>
      <c r="F428" t="inlineStr">
        <is>
          <t>BLEKINGE LÄN</t>
        </is>
      </c>
      <c r="G428" t="inlineStr">
        <is>
          <t>RONNEBY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45099</v>
      </c>
      <c r="E429" s="1" t="n">
        <v>46309</v>
      </c>
      <c r="F429" t="inlineStr">
        <is>
          <t>BLEKINGE LÄN</t>
        </is>
      </c>
      <c r="G429" t="inlineStr">
        <is>
          <t>RONNEBY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45310</v>
      </c>
      <c r="E430" s="1" t="n">
        <v>46309</v>
      </c>
      <c r="F430" t="inlineStr">
        <is>
          <t>BLEKINGE LÄN</t>
        </is>
      </c>
      <c r="G430" t="inlineStr">
        <is>
          <t>RONNEBY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45921</v>
      </c>
      <c r="E431" s="1" t="n">
        <v>46309</v>
      </c>
      <c r="F431" t="inlineStr">
        <is>
          <t>BLEKINGE LÄN</t>
        </is>
      </c>
      <c r="G431" t="inlineStr">
        <is>
          <t>RONNEBY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44987</v>
      </c>
      <c r="E432" s="1" t="n">
        <v>46309</v>
      </c>
      <c r="F432" t="inlineStr">
        <is>
          <t>BLEKINGE LÄN</t>
        </is>
      </c>
      <c r="G432" t="inlineStr">
        <is>
          <t>RONNEBY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28732-2026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46198</v>
      </c>
      <c r="E433" s="1" t="n">
        <v>46309</v>
      </c>
      <c r="F433" t="inlineStr">
        <is>
          <t>BLEKINGE LÄN</t>
        </is>
      </c>
      <c r="G433" t="inlineStr">
        <is>
          <t>RONNEBY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46309</v>
      </c>
      <c r="F434" t="inlineStr">
        <is>
          <t>BLEKINGE LÄN</t>
        </is>
      </c>
      <c r="G434" t="inlineStr">
        <is>
          <t>RONNEBY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46309</v>
      </c>
      <c r="F435" t="inlineStr">
        <is>
          <t>BLEKINGE LÄN</t>
        </is>
      </c>
      <c r="G435" t="inlineStr">
        <is>
          <t>RONNEBY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22542-2023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45071</v>
      </c>
      <c r="E436" s="1" t="n">
        <v>46309</v>
      </c>
      <c r="F436" t="inlineStr">
        <is>
          <t>BLEKINGE LÄN</t>
        </is>
      </c>
      <c r="G436" t="inlineStr">
        <is>
          <t>RONNEBY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45597</v>
      </c>
      <c r="E437" s="1" t="n">
        <v>46309</v>
      </c>
      <c r="F437" t="inlineStr">
        <is>
          <t>BLEKINGE LÄN</t>
        </is>
      </c>
      <c r="G437" t="inlineStr">
        <is>
          <t>RONNEBY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46309</v>
      </c>
      <c r="F438" t="inlineStr">
        <is>
          <t>BLEKINGE LÄN</t>
        </is>
      </c>
      <c r="G438" t="inlineStr">
        <is>
          <t>RONNEBY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46309</v>
      </c>
      <c r="F439" t="inlineStr">
        <is>
          <t>BLEKINGE LÄN</t>
        </is>
      </c>
      <c r="G439" t="inlineStr">
        <is>
          <t>RONNEBY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45128</v>
      </c>
      <c r="E440" s="1" t="n">
        <v>46309</v>
      </c>
      <c r="F440" t="inlineStr">
        <is>
          <t>BLEKINGE LÄN</t>
        </is>
      </c>
      <c r="G440" t="inlineStr">
        <is>
          <t>RONNEBY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45560</v>
      </c>
      <c r="E441" s="1" t="n">
        <v>46309</v>
      </c>
      <c r="F441" t="inlineStr">
        <is>
          <t>BLEKINGE LÄN</t>
        </is>
      </c>
      <c r="G441" t="inlineStr">
        <is>
          <t>RONNEBY</t>
        </is>
      </c>
      <c r="H441" t="inlineStr">
        <is>
          <t>Övriga Aktiebolag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46542-2022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46309</v>
      </c>
      <c r="F442" t="inlineStr">
        <is>
          <t>BLEKINGE LÄN</t>
        </is>
      </c>
      <c r="G442" t="inlineStr">
        <is>
          <t>RONNEBY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46309</v>
      </c>
      <c r="F443" t="inlineStr">
        <is>
          <t>BLEKINGE LÄN</t>
        </is>
      </c>
      <c r="G443" t="inlineStr">
        <is>
          <t>RONNEBY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44956</v>
      </c>
      <c r="E444" s="1" t="n">
        <v>46309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46309</v>
      </c>
      <c r="F445" t="inlineStr">
        <is>
          <t>BLEKINGE LÄN</t>
        </is>
      </c>
      <c r="G445" t="inlineStr">
        <is>
          <t>RONNEBY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44987</v>
      </c>
      <c r="E446" s="1" t="n">
        <v>46309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10506-2023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44987</v>
      </c>
      <c r="E447" s="1" t="n">
        <v>46309</v>
      </c>
      <c r="F447" t="inlineStr">
        <is>
          <t>BLEKINGE LÄN</t>
        </is>
      </c>
      <c r="G447" t="inlineStr">
        <is>
          <t>RONNEBY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46309</v>
      </c>
      <c r="F448" t="inlineStr">
        <is>
          <t>BLEKINGE LÄN</t>
        </is>
      </c>
      <c r="G448" t="inlineStr">
        <is>
          <t>RONNEBY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45360</v>
      </c>
      <c r="E449" s="1" t="n">
        <v>46309</v>
      </c>
      <c r="F449" t="inlineStr">
        <is>
          <t>BLEKINGE LÄN</t>
        </is>
      </c>
      <c r="G449" t="inlineStr">
        <is>
          <t>RONNEBY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46309</v>
      </c>
      <c r="F450" t="inlineStr">
        <is>
          <t>BLEKINGE LÄN</t>
        </is>
      </c>
      <c r="G450" t="inlineStr">
        <is>
          <t>RONNEBY</t>
        </is>
      </c>
      <c r="I450" t="n">
        <v>10.2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45327</v>
      </c>
      <c r="E451" s="1" t="n">
        <v>46309</v>
      </c>
      <c r="F451" t="inlineStr">
        <is>
          <t>BLEKINGE LÄN</t>
        </is>
      </c>
      <c r="G451" t="inlineStr">
        <is>
          <t>RONNEBY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45354</v>
      </c>
      <c r="E452" s="1" t="n">
        <v>46309</v>
      </c>
      <c r="F452" t="inlineStr">
        <is>
          <t>BLEKINGE LÄN</t>
        </is>
      </c>
      <c r="G452" t="inlineStr">
        <is>
          <t>RONNEBY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45027</v>
      </c>
      <c r="E453" s="1" t="n">
        <v>46309</v>
      </c>
      <c r="F453" t="inlineStr">
        <is>
          <t>BLEKINGE LÄN</t>
        </is>
      </c>
      <c r="G453" t="inlineStr">
        <is>
          <t>RONNEBY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46309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64459-2023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45280</v>
      </c>
      <c r="E455" s="1" t="n">
        <v>46309</v>
      </c>
      <c r="F455" t="inlineStr">
        <is>
          <t>BLEKINGE LÄN</t>
        </is>
      </c>
      <c r="G455" t="inlineStr">
        <is>
          <t>RONNEBY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61740-2022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44917</v>
      </c>
      <c r="E456" s="1" t="n">
        <v>46309</v>
      </c>
      <c r="F456" t="inlineStr">
        <is>
          <t>BLEKINGE LÄN</t>
        </is>
      </c>
      <c r="G456" t="inlineStr">
        <is>
          <t>RONNEBY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39466-2023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46309</v>
      </c>
      <c r="F457" t="inlineStr">
        <is>
          <t>BLEKINGE LÄN</t>
        </is>
      </c>
      <c r="G457" t="inlineStr">
        <is>
          <t>RONNEBY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44651</v>
      </c>
      <c r="E458" s="1" t="n">
        <v>46309</v>
      </c>
      <c r="F458" t="inlineStr">
        <is>
          <t>BLEKINGE LÄN</t>
        </is>
      </c>
      <c r="G458" t="inlineStr">
        <is>
          <t>RONNEBY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44966</v>
      </c>
      <c r="E459" s="1" t="n">
        <v>46309</v>
      </c>
      <c r="F459" t="inlineStr">
        <is>
          <t>BLEKINGE LÄN</t>
        </is>
      </c>
      <c r="G459" t="inlineStr">
        <is>
          <t>RONNEBY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46309</v>
      </c>
      <c r="F460" t="inlineStr">
        <is>
          <t>BLEKINGE LÄN</t>
        </is>
      </c>
      <c r="G460" t="inlineStr">
        <is>
          <t>RONNEBY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12768-2023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45001</v>
      </c>
      <c r="E461" s="1" t="n">
        <v>46309</v>
      </c>
      <c r="F461" t="inlineStr">
        <is>
          <t>BLEKINGE LÄN</t>
        </is>
      </c>
      <c r="G461" t="inlineStr">
        <is>
          <t>RONNEBY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30407-2026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46209</v>
      </c>
      <c r="E462" s="1" t="n">
        <v>46309</v>
      </c>
      <c r="F462" t="inlineStr">
        <is>
          <t>BLEKINGE LÄN</t>
        </is>
      </c>
      <c r="G462" t="inlineStr">
        <is>
          <t>RONNEBY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46309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46309</v>
      </c>
      <c r="F464" t="inlineStr">
        <is>
          <t>BLEKINGE LÄN</t>
        </is>
      </c>
      <c r="G464" t="inlineStr">
        <is>
          <t>RONNEBY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46309</v>
      </c>
      <c r="F465" t="inlineStr">
        <is>
          <t>BLEKINGE LÄN</t>
        </is>
      </c>
      <c r="G465" t="inlineStr">
        <is>
          <t>RONNEBY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30564-2026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46309</v>
      </c>
      <c r="F466" t="inlineStr">
        <is>
          <t>BLEKINGE LÄN</t>
        </is>
      </c>
      <c r="G466" t="inlineStr">
        <is>
          <t>RONNEBY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46309</v>
      </c>
      <c r="F467" t="inlineStr">
        <is>
          <t>BLEKINGE LÄN</t>
        </is>
      </c>
      <c r="G467" t="inlineStr">
        <is>
          <t>RONNEBY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46309</v>
      </c>
      <c r="F468" t="inlineStr">
        <is>
          <t>BLEKINGE LÄN</t>
        </is>
      </c>
      <c r="G468" t="inlineStr">
        <is>
          <t>RONNEBY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46212</v>
      </c>
      <c r="E469" s="1" t="n">
        <v>46309</v>
      </c>
      <c r="F469" t="inlineStr">
        <is>
          <t>BLEKINGE LÄN</t>
        </is>
      </c>
      <c r="G469" t="inlineStr">
        <is>
          <t>RONNEBY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44992</v>
      </c>
      <c r="E470" s="1" t="n">
        <v>46309</v>
      </c>
      <c r="F470" t="inlineStr">
        <is>
          <t>BLEKINGE LÄN</t>
        </is>
      </c>
      <c r="G470" t="inlineStr">
        <is>
          <t>RONNEBY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45006</v>
      </c>
      <c r="E471" s="1" t="n">
        <v>46309</v>
      </c>
      <c r="F471" t="inlineStr">
        <is>
          <t>BLEKINGE LÄN</t>
        </is>
      </c>
      <c r="G471" t="inlineStr">
        <is>
          <t>RONNEBY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45201</v>
      </c>
      <c r="E472" s="1" t="n">
        <v>46309</v>
      </c>
      <c r="F472" t="inlineStr">
        <is>
          <t>BLEKINGE LÄN</t>
        </is>
      </c>
      <c r="G472" t="inlineStr">
        <is>
          <t>RONNEBY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45195</v>
      </c>
      <c r="E473" s="1" t="n">
        <v>46309</v>
      </c>
      <c r="F473" t="inlineStr">
        <is>
          <t>BLEKINGE LÄN</t>
        </is>
      </c>
      <c r="G473" t="inlineStr">
        <is>
          <t>RONNEBY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15622-2024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45402</v>
      </c>
      <c r="E474" s="1" t="n">
        <v>46309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46216</v>
      </c>
      <c r="E475" s="1" t="n">
        <v>46309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45139</v>
      </c>
      <c r="E476" s="1" t="n">
        <v>46309</v>
      </c>
      <c r="F476" t="inlineStr">
        <is>
          <t>BLEKINGE LÄN</t>
        </is>
      </c>
      <c r="G476" t="inlineStr">
        <is>
          <t>RONNEBY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9685-2022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44617</v>
      </c>
      <c r="E477" s="1" t="n">
        <v>46309</v>
      </c>
      <c r="F477" t="inlineStr">
        <is>
          <t>BLEKINGE LÄN</t>
        </is>
      </c>
      <c r="G477" t="inlineStr">
        <is>
          <t>RONNEBY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44987</v>
      </c>
      <c r="E478" s="1" t="n">
        <v>46309</v>
      </c>
      <c r="F478" t="inlineStr">
        <is>
          <t>BLEKINGE LÄN</t>
        </is>
      </c>
      <c r="G478" t="inlineStr">
        <is>
          <t>RONNEBY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46218</v>
      </c>
      <c r="E479" s="1" t="n">
        <v>46309</v>
      </c>
      <c r="F479" t="inlineStr">
        <is>
          <t>BLEKINGE LÄN</t>
        </is>
      </c>
      <c r="G479" t="inlineStr">
        <is>
          <t>RONNEBY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46309</v>
      </c>
      <c r="F480" t="inlineStr">
        <is>
          <t>BLEKINGE LÄN</t>
        </is>
      </c>
      <c r="G480" t="inlineStr">
        <is>
          <t>RONNEBY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45272</v>
      </c>
      <c r="E481" s="1" t="n">
        <v>46309</v>
      </c>
      <c r="F481" t="inlineStr">
        <is>
          <t>BLEKINGE LÄN</t>
        </is>
      </c>
      <c r="G481" t="inlineStr">
        <is>
          <t>RONNEBY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21203-2023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46309</v>
      </c>
      <c r="F482" t="inlineStr">
        <is>
          <t>BLEKINGE LÄN</t>
        </is>
      </c>
      <c r="G482" t="inlineStr">
        <is>
          <t>RONNEBY</t>
        </is>
      </c>
      <c r="H482" t="inlineStr">
        <is>
          <t>Kommuner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45111</v>
      </c>
      <c r="E483" s="1" t="n">
        <v>46309</v>
      </c>
      <c r="F483" t="inlineStr">
        <is>
          <t>BLEKINGE LÄN</t>
        </is>
      </c>
      <c r="G483" t="inlineStr">
        <is>
          <t>RONNEBY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38090-2024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45545</v>
      </c>
      <c r="E484" s="1" t="n">
        <v>46309</v>
      </c>
      <c r="F484" t="inlineStr">
        <is>
          <t>BLEKINGE LÄN</t>
        </is>
      </c>
      <c r="G484" t="inlineStr">
        <is>
          <t>RONNEBY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46268</v>
      </c>
      <c r="E485" s="1" t="n">
        <v>46309</v>
      </c>
      <c r="F485" t="inlineStr">
        <is>
          <t>BLEKINGE LÄN</t>
        </is>
      </c>
      <c r="G485" t="inlineStr">
        <is>
          <t>RONNEBY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45363</v>
      </c>
      <c r="E486" s="1" t="n">
        <v>46309</v>
      </c>
      <c r="F486" t="inlineStr">
        <is>
          <t>BLEKINGE LÄN</t>
        </is>
      </c>
      <c r="G486" t="inlineStr">
        <is>
          <t>RONNEBY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36218-2026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46267</v>
      </c>
      <c r="E487" s="1" t="n">
        <v>46309</v>
      </c>
      <c r="F487" t="inlineStr">
        <is>
          <t>BLEKINGE LÄN</t>
        </is>
      </c>
      <c r="G487" t="inlineStr">
        <is>
          <t>RONNEBY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45006</v>
      </c>
      <c r="E488" s="1" t="n">
        <v>46309</v>
      </c>
      <c r="F488" t="inlineStr">
        <is>
          <t>BLEKINGE LÄN</t>
        </is>
      </c>
      <c r="G488" t="inlineStr">
        <is>
          <t>RONNEBY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46268</v>
      </c>
      <c r="E489" s="1" t="n">
        <v>46309</v>
      </c>
      <c r="F489" t="inlineStr">
        <is>
          <t>BLEKINGE LÄN</t>
        </is>
      </c>
      <c r="G489" t="inlineStr">
        <is>
          <t>RONNEBY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46309</v>
      </c>
      <c r="F490" t="inlineStr">
        <is>
          <t>BLEKINGE LÄN</t>
        </is>
      </c>
      <c r="G490" t="inlineStr">
        <is>
          <t>RONNEBY</t>
        </is>
      </c>
      <c r="H490" t="inlineStr">
        <is>
          <t>Kommuner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36219-2026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46267</v>
      </c>
      <c r="E491" s="1" t="n">
        <v>46309</v>
      </c>
      <c r="F491" t="inlineStr">
        <is>
          <t>BLEKINGE LÄN</t>
        </is>
      </c>
      <c r="G491" t="inlineStr">
        <is>
          <t>RONNEBY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31703-2026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46226</v>
      </c>
      <c r="E492" s="1" t="n">
        <v>46309</v>
      </c>
      <c r="F492" t="inlineStr">
        <is>
          <t>BLEKINGE LÄN</t>
        </is>
      </c>
      <c r="G492" t="inlineStr">
        <is>
          <t>RONNEBY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45012</v>
      </c>
      <c r="E493" s="1" t="n">
        <v>46309</v>
      </c>
      <c r="F493" t="inlineStr">
        <is>
          <t>BLEKINGE LÄN</t>
        </is>
      </c>
      <c r="G493" t="inlineStr">
        <is>
          <t>RONNEBY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14357-2023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45012</v>
      </c>
      <c r="E494" s="1" t="n">
        <v>46309</v>
      </c>
      <c r="F494" t="inlineStr">
        <is>
          <t>BLEKINGE LÄN</t>
        </is>
      </c>
      <c r="G494" t="inlineStr">
        <is>
          <t>RONNEBY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45246</v>
      </c>
      <c r="E495" s="1" t="n">
        <v>46309</v>
      </c>
      <c r="F495" t="inlineStr">
        <is>
          <t>BLEKINGE LÄN</t>
        </is>
      </c>
      <c r="G495" t="inlineStr">
        <is>
          <t>RONNEBY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46309</v>
      </c>
      <c r="F496" t="inlineStr">
        <is>
          <t>BLEKINGE LÄN</t>
        </is>
      </c>
      <c r="G496" t="inlineStr">
        <is>
          <t>RONNEBY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45057</v>
      </c>
      <c r="E497" s="1" t="n">
        <v>46309</v>
      </c>
      <c r="F497" t="inlineStr">
        <is>
          <t>BLEKINGE LÄN</t>
        </is>
      </c>
      <c r="G497" t="inlineStr">
        <is>
          <t>RONNEBY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46272</v>
      </c>
      <c r="E498" s="1" t="n">
        <v>46309</v>
      </c>
      <c r="F498" t="inlineStr">
        <is>
          <t>BLEKINGE LÄN</t>
        </is>
      </c>
      <c r="G498" t="inlineStr">
        <is>
          <t>RONNEBY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45063</v>
      </c>
      <c r="E499" s="1" t="n">
        <v>46309</v>
      </c>
      <c r="F499" t="inlineStr">
        <is>
          <t>BLEKINGE LÄN</t>
        </is>
      </c>
      <c r="G499" t="inlineStr">
        <is>
          <t>RONNEBY</t>
        </is>
      </c>
      <c r="H499" t="inlineStr">
        <is>
          <t>Övriga Aktiebolag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28975-2023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45104</v>
      </c>
      <c r="E500" s="1" t="n">
        <v>46309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46309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46309</v>
      </c>
      <c r="F502" t="inlineStr">
        <is>
          <t>BLEKINGE LÄN</t>
        </is>
      </c>
      <c r="G502" t="inlineStr">
        <is>
          <t>RONNEBY</t>
        </is>
      </c>
      <c r="H502" t="inlineStr">
        <is>
          <t>Kommuner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45001</v>
      </c>
      <c r="E503" s="1" t="n">
        <v>46309</v>
      </c>
      <c r="F503" t="inlineStr">
        <is>
          <t>BLEKINGE LÄN</t>
        </is>
      </c>
      <c r="G503" t="inlineStr">
        <is>
          <t>RONNEBY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8330-2023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44974</v>
      </c>
      <c r="E504" s="1" t="n">
        <v>46309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50808-2024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45602</v>
      </c>
      <c r="E505" s="1" t="n">
        <v>46309</v>
      </c>
      <c r="F505" t="inlineStr">
        <is>
          <t>BLEKINGE LÄN</t>
        </is>
      </c>
      <c r="G505" t="inlineStr">
        <is>
          <t>RONNEBY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37576-2026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46309</v>
      </c>
      <c r="F506" t="inlineStr">
        <is>
          <t>BLEKINGE LÄN</t>
        </is>
      </c>
      <c r="G506" t="inlineStr">
        <is>
          <t>RONNEBY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23888-2022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46309</v>
      </c>
      <c r="F507" t="inlineStr">
        <is>
          <t>BLEKINGE LÄN</t>
        </is>
      </c>
      <c r="G507" t="inlineStr">
        <is>
          <t>RONNEBY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45394</v>
      </c>
      <c r="E508" s="1" t="n">
        <v>46309</v>
      </c>
      <c r="F508" t="inlineStr">
        <is>
          <t>BLEKINGE LÄN</t>
        </is>
      </c>
      <c r="G508" t="inlineStr">
        <is>
          <t>RONNEBY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46309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58552-2022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44902</v>
      </c>
      <c r="E510" s="1" t="n">
        <v>46309</v>
      </c>
      <c r="F510" t="inlineStr">
        <is>
          <t>BLEKINGE LÄN</t>
        </is>
      </c>
      <c r="G510" t="inlineStr">
        <is>
          <t>RONNEBY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11560-2024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46309</v>
      </c>
      <c r="F511" t="inlineStr">
        <is>
          <t>BLEKINGE LÄN</t>
        </is>
      </c>
      <c r="G511" t="inlineStr">
        <is>
          <t>RONNEBY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9493-2024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45359</v>
      </c>
      <c r="E512" s="1" t="n">
        <v>46309</v>
      </c>
      <c r="F512" t="inlineStr">
        <is>
          <t>BLEKINGE LÄN</t>
        </is>
      </c>
      <c r="G512" t="inlineStr">
        <is>
          <t>RONNEBY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9571-2024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45360</v>
      </c>
      <c r="E513" s="1" t="n">
        <v>46309</v>
      </c>
      <c r="F513" t="inlineStr">
        <is>
          <t>BLEKINGE LÄN</t>
        </is>
      </c>
      <c r="G513" t="inlineStr">
        <is>
          <t>RONNEBY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37861-2026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46309</v>
      </c>
      <c r="F514" t="inlineStr">
        <is>
          <t>BLEKINGE LÄN</t>
        </is>
      </c>
      <c r="G514" t="inlineStr">
        <is>
          <t>RONNEBY</t>
        </is>
      </c>
      <c r="H514" t="inlineStr">
        <is>
          <t>Övriga Aktiebolag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29552-2022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44754</v>
      </c>
      <c r="E515" s="1" t="n">
        <v>46309</v>
      </c>
      <c r="F515" t="inlineStr">
        <is>
          <t>BLEKINGE LÄN</t>
        </is>
      </c>
      <c r="G515" t="inlineStr">
        <is>
          <t>RONNEBY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45072</v>
      </c>
      <c r="E516" s="1" t="n">
        <v>46309</v>
      </c>
      <c r="F516" t="inlineStr">
        <is>
          <t>BLEKINGE LÄN</t>
        </is>
      </c>
      <c r="G516" t="inlineStr">
        <is>
          <t>RONNEBY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19841-2023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45053</v>
      </c>
      <c r="E517" s="1" t="n">
        <v>46309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45097</v>
      </c>
      <c r="E518" s="1" t="n">
        <v>46309</v>
      </c>
      <c r="F518" t="inlineStr">
        <is>
          <t>BLEKINGE LÄN</t>
        </is>
      </c>
      <c r="G518" t="inlineStr">
        <is>
          <t>RONNEBY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46281</v>
      </c>
      <c r="E519" s="1" t="n">
        <v>46309</v>
      </c>
      <c r="F519" t="inlineStr">
        <is>
          <t>BLEKINGE LÄN</t>
        </is>
      </c>
      <c r="G519" t="inlineStr">
        <is>
          <t>RONNEBY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45462</v>
      </c>
      <c r="E520" s="1" t="n">
        <v>46309</v>
      </c>
      <c r="F520" t="inlineStr">
        <is>
          <t>BLEKINGE LÄN</t>
        </is>
      </c>
      <c r="G520" t="inlineStr">
        <is>
          <t>RONNEBY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4470-2023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44956</v>
      </c>
      <c r="E521" s="1" t="n">
        <v>46309</v>
      </c>
      <c r="F521" t="inlineStr">
        <is>
          <t>BLEKINGE LÄN</t>
        </is>
      </c>
      <c r="G521" t="inlineStr">
        <is>
          <t>RONNEBY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45058</v>
      </c>
      <c r="E522" s="1" t="n">
        <v>46309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45327</v>
      </c>
      <c r="E523" s="1" t="n">
        <v>46309</v>
      </c>
      <c r="F523" t="inlineStr">
        <is>
          <t>BLEKINGE LÄN</t>
        </is>
      </c>
      <c r="G523" t="inlineStr">
        <is>
          <t>RONNEBY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45402</v>
      </c>
      <c r="E524" s="1" t="n">
        <v>46309</v>
      </c>
      <c r="F524" t="inlineStr">
        <is>
          <t>BLEKINGE LÄN</t>
        </is>
      </c>
      <c r="G524" t="inlineStr">
        <is>
          <t>RONNEBY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45012</v>
      </c>
      <c r="E525" s="1" t="n">
        <v>46309</v>
      </c>
      <c r="F525" t="inlineStr">
        <is>
          <t>BLEKINGE LÄN</t>
        </is>
      </c>
      <c r="G525" t="inlineStr">
        <is>
          <t>RONNEBY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46309</v>
      </c>
      <c r="F526" t="inlineStr">
        <is>
          <t>BLEKINGE LÄN</t>
        </is>
      </c>
      <c r="G526" t="inlineStr">
        <is>
          <t>RONNEBY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32162-2022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44756</v>
      </c>
      <c r="E527" s="1" t="n">
        <v>46309</v>
      </c>
      <c r="F527" t="inlineStr">
        <is>
          <t>BLEKINGE LÄN</t>
        </is>
      </c>
      <c r="G527" t="inlineStr">
        <is>
          <t>RONNEBY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45098</v>
      </c>
      <c r="E528" s="1" t="n">
        <v>46309</v>
      </c>
      <c r="F528" t="inlineStr">
        <is>
          <t>BLEKINGE LÄN</t>
        </is>
      </c>
      <c r="G528" t="inlineStr">
        <is>
          <t>RONNEBY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45337</v>
      </c>
      <c r="E529" s="1" t="n">
        <v>46309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9569-2024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45360</v>
      </c>
      <c r="E530" s="1" t="n">
        <v>46309</v>
      </c>
      <c r="F530" t="inlineStr">
        <is>
          <t>BLEKINGE LÄN</t>
        </is>
      </c>
      <c r="G530" t="inlineStr">
        <is>
          <t>RONNEBY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46309</v>
      </c>
      <c r="F531" t="inlineStr">
        <is>
          <t>BLEKINGE LÄN</t>
        </is>
      </c>
      <c r="G531" t="inlineStr">
        <is>
          <t>RONNEBY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46287</v>
      </c>
      <c r="E532" s="1" t="n">
        <v>46309</v>
      </c>
      <c r="F532" t="inlineStr">
        <is>
          <t>BLEKINGE LÄN</t>
        </is>
      </c>
      <c r="G532" t="inlineStr">
        <is>
          <t>RONNEBY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46287</v>
      </c>
      <c r="E533" s="1" t="n">
        <v>46309</v>
      </c>
      <c r="F533" t="inlineStr">
        <is>
          <t>BLEKINGE LÄN</t>
        </is>
      </c>
      <c r="G533" t="inlineStr">
        <is>
          <t>RONNEBY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45714</v>
      </c>
      <c r="E534" s="1" t="n">
        <v>46309</v>
      </c>
      <c r="F534" t="inlineStr">
        <is>
          <t>BLEKINGE LÄN</t>
        </is>
      </c>
      <c r="G534" t="inlineStr">
        <is>
          <t>RONNEBY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45001</v>
      </c>
      <c r="E535" s="1" t="n">
        <v>46309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46309</v>
      </c>
      <c r="F536" t="inlineStr">
        <is>
          <t>BLEKINGE LÄN</t>
        </is>
      </c>
      <c r="G536" t="inlineStr">
        <is>
          <t>RONNEBY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46309</v>
      </c>
      <c r="F537" t="inlineStr">
        <is>
          <t>BLEKINGE LÄN</t>
        </is>
      </c>
      <c r="G537" t="inlineStr">
        <is>
          <t>RONNEBY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46077</v>
      </c>
      <c r="E538" s="1" t="n">
        <v>46309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46309</v>
      </c>
      <c r="F539" t="inlineStr">
        <is>
          <t>BLEKINGE LÄN</t>
        </is>
      </c>
      <c r="G539" t="inlineStr">
        <is>
          <t>RONNEBY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8004-2024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45350</v>
      </c>
      <c r="E540" s="1" t="n">
        <v>46309</v>
      </c>
      <c r="F540" t="inlineStr">
        <is>
          <t>BLEKINGE LÄN</t>
        </is>
      </c>
      <c r="G540" t="inlineStr">
        <is>
          <t>RONNEBY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38375-2024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46309</v>
      </c>
      <c r="F541" t="inlineStr">
        <is>
          <t>BLEKINGE LÄN</t>
        </is>
      </c>
      <c r="G541" t="inlineStr">
        <is>
          <t>RONNEBY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31415-2022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44774</v>
      </c>
      <c r="E542" s="1" t="n">
        <v>46309</v>
      </c>
      <c r="F542" t="inlineStr">
        <is>
          <t>BLEKINGE LÄN</t>
        </is>
      </c>
      <c r="G542" t="inlineStr">
        <is>
          <t>RONNEBY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41217-2023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45169</v>
      </c>
      <c r="E543" s="1" t="n">
        <v>46309</v>
      </c>
      <c r="F543" t="inlineStr">
        <is>
          <t>BLEKINGE LÄN</t>
        </is>
      </c>
      <c r="G543" t="inlineStr">
        <is>
          <t>RONNEBY</t>
        </is>
      </c>
      <c r="I543" t="n">
        <v>9.9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11067-2026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46079</v>
      </c>
      <c r="E544" s="1" t="n">
        <v>46309</v>
      </c>
      <c r="F544" t="inlineStr">
        <is>
          <t>BLEKINGE LÄN</t>
        </is>
      </c>
      <c r="G544" t="inlineStr">
        <is>
          <t>RONNEBY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9227-2025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46309</v>
      </c>
      <c r="F545" t="inlineStr">
        <is>
          <t>BLEKINGE LÄN</t>
        </is>
      </c>
      <c r="G545" t="inlineStr">
        <is>
          <t>RONNEBY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46309</v>
      </c>
      <c r="F546" t="inlineStr">
        <is>
          <t>BLEKINGE LÄN</t>
        </is>
      </c>
      <c r="G546" t="inlineStr">
        <is>
          <t>RONNEBY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57773-2024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46309</v>
      </c>
      <c r="F547" t="inlineStr">
        <is>
          <t>BLEKINGE LÄN</t>
        </is>
      </c>
      <c r="G547" t="inlineStr">
        <is>
          <t>RONNEBY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46309</v>
      </c>
      <c r="F548" t="inlineStr">
        <is>
          <t>BLEKINGE LÄN</t>
        </is>
      </c>
      <c r="G548" t="inlineStr">
        <is>
          <t>RONNEBY</t>
        </is>
      </c>
      <c r="H548" t="inlineStr">
        <is>
          <t>Övriga Aktiebolag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47823-2024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45588</v>
      </c>
      <c r="E549" s="1" t="n">
        <v>46309</v>
      </c>
      <c r="F549" t="inlineStr">
        <is>
          <t>BLEKINGE LÄN</t>
        </is>
      </c>
      <c r="G549" t="inlineStr">
        <is>
          <t>RONNEBY</t>
        </is>
      </c>
      <c r="H549" t="inlineStr">
        <is>
          <t>Kommuner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59676-2022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44908</v>
      </c>
      <c r="E550" s="1" t="n">
        <v>46309</v>
      </c>
      <c r="F550" t="inlineStr">
        <is>
          <t>BLEKINGE LÄN</t>
        </is>
      </c>
      <c r="G550" t="inlineStr">
        <is>
          <t>RONNEBY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19594-2024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45430</v>
      </c>
      <c r="E551" s="1" t="n">
        <v>46309</v>
      </c>
      <c r="F551" t="inlineStr">
        <is>
          <t>BLEKINGE LÄN</t>
        </is>
      </c>
      <c r="G551" t="inlineStr">
        <is>
          <t>RONNEBY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45408</v>
      </c>
      <c r="E552" s="1" t="n">
        <v>46309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46294</v>
      </c>
      <c r="E553" s="1" t="n">
        <v>46309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52817-2024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45610</v>
      </c>
      <c r="E554" s="1" t="n">
        <v>46309</v>
      </c>
      <c r="F554" t="inlineStr">
        <is>
          <t>BLEKINGE LÄN</t>
        </is>
      </c>
      <c r="G554" t="inlineStr">
        <is>
          <t>RONNEBY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44973</v>
      </c>
      <c r="E555" s="1" t="n">
        <v>46309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9.199999999999999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45278</v>
      </c>
      <c r="E556" s="1" t="n">
        <v>46309</v>
      </c>
      <c r="F556" t="inlineStr">
        <is>
          <t>BLEKINGE LÄN</t>
        </is>
      </c>
      <c r="G556" t="inlineStr">
        <is>
          <t>RONNEBY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15264-2023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45019</v>
      </c>
      <c r="E557" s="1" t="n">
        <v>46309</v>
      </c>
      <c r="F557" t="inlineStr">
        <is>
          <t>BLEKINGE LÄN</t>
        </is>
      </c>
      <c r="G557" t="inlineStr">
        <is>
          <t>RONNEBY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17563-2023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46309</v>
      </c>
      <c r="F558" t="inlineStr">
        <is>
          <t>BLEKINGE LÄN</t>
        </is>
      </c>
      <c r="G558" t="inlineStr">
        <is>
          <t>RONNEBY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33519-2026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46248</v>
      </c>
      <c r="E559" s="1" t="n">
        <v>46309</v>
      </c>
      <c r="F559" t="inlineStr">
        <is>
          <t>BLEKINGE LÄN</t>
        </is>
      </c>
      <c r="G559" t="inlineStr">
        <is>
          <t>RONNEBY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46309</v>
      </c>
      <c r="F560" t="inlineStr">
        <is>
          <t>BLEKINGE LÄN</t>
        </is>
      </c>
      <c r="G560" t="inlineStr">
        <is>
          <t>RONNEBY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45229</v>
      </c>
      <c r="E561" s="1" t="n">
        <v>46309</v>
      </c>
      <c r="F561" t="inlineStr">
        <is>
          <t>BLEKINGE LÄN</t>
        </is>
      </c>
      <c r="G561" t="inlineStr">
        <is>
          <t>RONNEBY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39964-2026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46292</v>
      </c>
      <c r="E562" s="1" t="n">
        <v>46309</v>
      </c>
      <c r="F562" t="inlineStr">
        <is>
          <t>BLEKINGE LÄN</t>
        </is>
      </c>
      <c r="G562" t="inlineStr">
        <is>
          <t>RONNEBY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45600</v>
      </c>
      <c r="E563" s="1" t="n">
        <v>46309</v>
      </c>
      <c r="F563" t="inlineStr">
        <is>
          <t>BLEKINGE LÄN</t>
        </is>
      </c>
      <c r="G563" t="inlineStr">
        <is>
          <t>RONNEBY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39963-2026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46292</v>
      </c>
      <c r="E564" s="1" t="n">
        <v>46309</v>
      </c>
      <c r="F564" t="inlineStr">
        <is>
          <t>BLEKINGE LÄN</t>
        </is>
      </c>
      <c r="G564" t="inlineStr">
        <is>
          <t>RONNEBY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17904-2023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45040</v>
      </c>
      <c r="E565" s="1" t="n">
        <v>46309</v>
      </c>
      <c r="F565" t="inlineStr">
        <is>
          <t>BLEKINGE LÄN</t>
        </is>
      </c>
      <c r="G565" t="inlineStr">
        <is>
          <t>RONNEBY</t>
        </is>
      </c>
      <c r="I565" t="n">
        <v>11.5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44950</v>
      </c>
      <c r="E566" s="1" t="n">
        <v>46309</v>
      </c>
      <c r="F566" t="inlineStr">
        <is>
          <t>BLEKINGE LÄN</t>
        </is>
      </c>
      <c r="G566" t="inlineStr">
        <is>
          <t>RONNEBY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46309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46309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45685</v>
      </c>
      <c r="E569" s="1" t="n">
        <v>46309</v>
      </c>
      <c r="F569" t="inlineStr">
        <is>
          <t>BLEKINGE LÄN</t>
        </is>
      </c>
      <c r="G569" t="inlineStr">
        <is>
          <t>RONNEBY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46309</v>
      </c>
      <c r="F570" t="inlineStr">
        <is>
          <t>BLEKINGE LÄN</t>
        </is>
      </c>
      <c r="G570" t="inlineStr">
        <is>
          <t>RONNEBY</t>
        </is>
      </c>
      <c r="H570" t="inlineStr">
        <is>
          <t>Kommuner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7716-2023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44972</v>
      </c>
      <c r="E571" s="1" t="n">
        <v>46309</v>
      </c>
      <c r="F571" t="inlineStr">
        <is>
          <t>BLEKINGE LÄN</t>
        </is>
      </c>
      <c r="G571" t="inlineStr">
        <is>
          <t>RONNEBY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41421-2024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45560</v>
      </c>
      <c r="E572" s="1" t="n">
        <v>46309</v>
      </c>
      <c r="F572" t="inlineStr">
        <is>
          <t>BLEKINGE LÄN</t>
        </is>
      </c>
      <c r="G572" t="inlineStr">
        <is>
          <t>RONNEBY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45531</v>
      </c>
      <c r="E573" s="1" t="n">
        <v>46309</v>
      </c>
      <c r="F573" t="inlineStr">
        <is>
          <t>BLEKINGE LÄN</t>
        </is>
      </c>
      <c r="G573" t="inlineStr">
        <is>
          <t>RONNEBY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14429-2024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45394</v>
      </c>
      <c r="E574" s="1" t="n">
        <v>46309</v>
      </c>
      <c r="F574" t="inlineStr">
        <is>
          <t>BLEKINGE LÄN</t>
        </is>
      </c>
      <c r="G574" t="inlineStr">
        <is>
          <t>RONNEBY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45104</v>
      </c>
      <c r="E575" s="1" t="n">
        <v>46309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44452-2024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45574</v>
      </c>
      <c r="E576" s="1" t="n">
        <v>46309</v>
      </c>
      <c r="F576" t="inlineStr">
        <is>
          <t>BLEKINGE LÄN</t>
        </is>
      </c>
      <c r="G576" t="inlineStr">
        <is>
          <t>RONNEBY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46309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45691</v>
      </c>
      <c r="E578" s="1" t="n">
        <v>46309</v>
      </c>
      <c r="F578" t="inlineStr">
        <is>
          <t>BLEKINGE LÄN</t>
        </is>
      </c>
      <c r="G578" t="inlineStr">
        <is>
          <t>RONNEBY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46309</v>
      </c>
      <c r="F579" t="inlineStr">
        <is>
          <t>BLEKINGE LÄN</t>
        </is>
      </c>
      <c r="G579" t="inlineStr">
        <is>
          <t>RONNEBY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52279-2024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46309</v>
      </c>
      <c r="F580" t="inlineStr">
        <is>
          <t>BLEKINGE LÄN</t>
        </is>
      </c>
      <c r="G580" t="inlineStr">
        <is>
          <t>RONNEBY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45502</v>
      </c>
      <c r="E581" s="1" t="n">
        <v>46309</v>
      </c>
      <c r="F581" t="inlineStr">
        <is>
          <t>BLEKINGE LÄN</t>
        </is>
      </c>
      <c r="G581" t="inlineStr">
        <is>
          <t>RONNEBY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44966</v>
      </c>
      <c r="E582" s="1" t="n">
        <v>46309</v>
      </c>
      <c r="F582" t="inlineStr">
        <is>
          <t>BLEKINGE LÄN</t>
        </is>
      </c>
      <c r="G582" t="inlineStr">
        <is>
          <t>RONNEBY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46309</v>
      </c>
      <c r="F583" t="inlineStr">
        <is>
          <t>BLEKINGE LÄN</t>
        </is>
      </c>
      <c r="G583" t="inlineStr">
        <is>
          <t>RONNEBY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43056-2024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45567</v>
      </c>
      <c r="E584" s="1" t="n">
        <v>46309</v>
      </c>
      <c r="F584" t="inlineStr">
        <is>
          <t>BLEKINGE LÄN</t>
        </is>
      </c>
      <c r="G584" t="inlineStr">
        <is>
          <t>RONNEBY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41199-2026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46300</v>
      </c>
      <c r="E585" s="1" t="n">
        <v>46309</v>
      </c>
      <c r="F585" t="inlineStr">
        <is>
          <t>BLEKINGE LÄN</t>
        </is>
      </c>
      <c r="G585" t="inlineStr">
        <is>
          <t>RONNEBY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45785</v>
      </c>
      <c r="E586" s="1" t="n">
        <v>46309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45724</v>
      </c>
      <c r="E587" s="1" t="n">
        <v>46309</v>
      </c>
      <c r="F587" t="inlineStr">
        <is>
          <t>BLEKINGE LÄN</t>
        </is>
      </c>
      <c r="G587" t="inlineStr">
        <is>
          <t>RONNEBY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45551</v>
      </c>
      <c r="E588" s="1" t="n">
        <v>46309</v>
      </c>
      <c r="F588" t="inlineStr">
        <is>
          <t>BLEKINGE LÄN</t>
        </is>
      </c>
      <c r="G588" t="inlineStr">
        <is>
          <t>RONNEBY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45642-2024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45579</v>
      </c>
      <c r="E589" s="1" t="n">
        <v>46309</v>
      </c>
      <c r="F589" t="inlineStr">
        <is>
          <t>BLEKINGE LÄN</t>
        </is>
      </c>
      <c r="G589" t="inlineStr">
        <is>
          <t>RONNEBY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35245-2024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45530</v>
      </c>
      <c r="E590" s="1" t="n">
        <v>46309</v>
      </c>
      <c r="F590" t="inlineStr">
        <is>
          <t>BLEKINGE LÄN</t>
        </is>
      </c>
      <c r="G590" t="inlineStr">
        <is>
          <t>RONNEBY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41070-2026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46300</v>
      </c>
      <c r="E591" s="1" t="n">
        <v>46309</v>
      </c>
      <c r="F591" t="inlineStr">
        <is>
          <t>BLEKINGE LÄN</t>
        </is>
      </c>
      <c r="G591" t="inlineStr">
        <is>
          <t>RONNEBY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42212-2024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45562</v>
      </c>
      <c r="E592" s="1" t="n">
        <v>46309</v>
      </c>
      <c r="F592" t="inlineStr">
        <is>
          <t>BLEKINGE LÄN</t>
        </is>
      </c>
      <c r="G592" t="inlineStr">
        <is>
          <t>RONNEBY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34884-2024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46309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61309-2024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45646</v>
      </c>
      <c r="E594" s="1" t="n">
        <v>46309</v>
      </c>
      <c r="F594" t="inlineStr">
        <is>
          <t>BLEKINGE LÄN</t>
        </is>
      </c>
      <c r="G594" t="inlineStr">
        <is>
          <t>RONNEBY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45280</v>
      </c>
      <c r="E595" s="1" t="n">
        <v>46309</v>
      </c>
      <c r="F595" t="inlineStr">
        <is>
          <t>BLEKINGE LÄN</t>
        </is>
      </c>
      <c r="G595" t="inlineStr">
        <is>
          <t>RONNEBY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45546</v>
      </c>
      <c r="E596" s="1" t="n">
        <v>46309</v>
      </c>
      <c r="F596" t="inlineStr">
        <is>
          <t>BLEKINGE LÄN</t>
        </is>
      </c>
      <c r="G596" t="inlineStr">
        <is>
          <t>RONNEBY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41068-2026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46300</v>
      </c>
      <c r="E597" s="1" t="n">
        <v>46309</v>
      </c>
      <c r="F597" t="inlineStr">
        <is>
          <t>BLEKINGE LÄN</t>
        </is>
      </c>
      <c r="G597" t="inlineStr">
        <is>
          <t>RONNEBY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45118</v>
      </c>
      <c r="E598" s="1" t="n">
        <v>46309</v>
      </c>
      <c r="F598" t="inlineStr">
        <is>
          <t>BLEKINGE LÄN</t>
        </is>
      </c>
      <c r="G598" t="inlineStr">
        <is>
          <t>RONNEBY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41243-2026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46298</v>
      </c>
      <c r="E599" s="1" t="n">
        <v>46309</v>
      </c>
      <c r="F599" t="inlineStr">
        <is>
          <t>BLEKINGE LÄN</t>
        </is>
      </c>
      <c r="G599" t="inlineStr">
        <is>
          <t>RONNEBY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46259</v>
      </c>
      <c r="E600" s="1" t="n">
        <v>46309</v>
      </c>
      <c r="F600" t="inlineStr">
        <is>
          <t>BLEKINGE LÄN</t>
        </is>
      </c>
      <c r="G600" t="inlineStr">
        <is>
          <t>RONNEBY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35077-2026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46259</v>
      </c>
      <c r="E601" s="1" t="n">
        <v>46309</v>
      </c>
      <c r="F601" t="inlineStr">
        <is>
          <t>BLEKINGE LÄN</t>
        </is>
      </c>
      <c r="G601" t="inlineStr">
        <is>
          <t>RONNEBY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46302</v>
      </c>
      <c r="E602" s="1" t="n">
        <v>46309</v>
      </c>
      <c r="F602" t="inlineStr">
        <is>
          <t>BLEKINGE LÄN</t>
        </is>
      </c>
      <c r="G602" t="inlineStr">
        <is>
          <t>RONNEBY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46309</v>
      </c>
      <c r="F603" t="inlineStr">
        <is>
          <t>BLEKINGE LÄN</t>
        </is>
      </c>
      <c r="G603" t="inlineStr">
        <is>
          <t>RONNEBY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46309</v>
      </c>
      <c r="F604" t="inlineStr">
        <is>
          <t>BLEKINGE LÄN</t>
        </is>
      </c>
      <c r="G604" t="inlineStr">
        <is>
          <t>RONNEBY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20586-2025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45775</v>
      </c>
      <c r="E605" s="1" t="n">
        <v>46309</v>
      </c>
      <c r="F605" t="inlineStr">
        <is>
          <t>BLEKINGE LÄN</t>
        </is>
      </c>
      <c r="G605" t="inlineStr">
        <is>
          <t>RONNEBY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46309</v>
      </c>
      <c r="F606" t="inlineStr">
        <is>
          <t>BLEKINGE LÄN</t>
        </is>
      </c>
      <c r="G606" t="inlineStr">
        <is>
          <t>RONNEBY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46309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46309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46265</v>
      </c>
      <c r="E609" s="1" t="n">
        <v>46309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35762-2026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46309</v>
      </c>
      <c r="F610" t="inlineStr">
        <is>
          <t>BLEKINGE LÄN</t>
        </is>
      </c>
      <c r="G610" t="inlineStr">
        <is>
          <t>RONNEBY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46309</v>
      </c>
      <c r="F611" t="inlineStr">
        <is>
          <t>BLEKINGE LÄN</t>
        </is>
      </c>
      <c r="G611" t="inlineStr">
        <is>
          <t>RONNEBY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46309</v>
      </c>
      <c r="F612" t="inlineStr">
        <is>
          <t>BLEKINGE LÄN</t>
        </is>
      </c>
      <c r="G612" t="inlineStr">
        <is>
          <t>RONNEBY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46309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46309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46309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46309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46309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2759-2024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45485</v>
      </c>
      <c r="E618" s="1" t="n">
        <v>46309</v>
      </c>
      <c r="F618" t="inlineStr">
        <is>
          <t>BLEKINGE LÄN</t>
        </is>
      </c>
      <c r="G618" t="inlineStr">
        <is>
          <t>RONNEBY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5159-2024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45646</v>
      </c>
      <c r="E619" s="1" t="n">
        <v>46309</v>
      </c>
      <c r="F619" t="inlineStr">
        <is>
          <t>BLEKINGE LÄN</t>
        </is>
      </c>
      <c r="G619" t="inlineStr">
        <is>
          <t>RONNEBY</t>
        </is>
      </c>
      <c r="I619" t="n">
        <v>75.90000000000001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4617-2024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45602</v>
      </c>
      <c r="E620" s="1" t="n">
        <v>46309</v>
      </c>
      <c r="F620" t="inlineStr">
        <is>
          <t>BLEKINGE LÄN</t>
        </is>
      </c>
      <c r="G620" t="inlineStr">
        <is>
          <t>RONNEBY</t>
        </is>
      </c>
      <c r="I620" t="n">
        <v>65.2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4090-2024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45573</v>
      </c>
      <c r="E621" s="1" t="n">
        <v>46309</v>
      </c>
      <c r="F621" t="inlineStr">
        <is>
          <t>BLEKINGE LÄN</t>
        </is>
      </c>
      <c r="G621" t="inlineStr">
        <is>
          <t>RONNEBY</t>
        </is>
      </c>
      <c r="I621" t="n">
        <v>35.7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45656</v>
      </c>
      <c r="E622" s="1" t="n">
        <v>46309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44959</v>
      </c>
      <c r="E623" s="1" t="n">
        <v>46309</v>
      </c>
      <c r="F623" t="inlineStr">
        <is>
          <t>BLEKINGE LÄN</t>
        </is>
      </c>
      <c r="G623" t="inlineStr">
        <is>
          <t>RONNEBY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2196-2024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45457</v>
      </c>
      <c r="E624" s="1" t="n">
        <v>46309</v>
      </c>
      <c r="F624" t="inlineStr">
        <is>
          <t>BLEKINGE LÄN</t>
        </is>
      </c>
      <c r="G624" t="inlineStr">
        <is>
          <t>RONNEBY</t>
        </is>
      </c>
      <c r="I624" t="n">
        <v>19.6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2689-2023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46309</v>
      </c>
      <c r="F625" t="inlineStr">
        <is>
          <t>BLEKINGE LÄN</t>
        </is>
      </c>
      <c r="G625" t="inlineStr">
        <is>
          <t>RONNEBY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2690-2023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46309</v>
      </c>
      <c r="F626" t="inlineStr">
        <is>
          <t>BLEKINGE LÄN</t>
        </is>
      </c>
      <c r="G626" t="inlineStr">
        <is>
          <t>RONNEBY</t>
        </is>
      </c>
      <c r="I626" t="n">
        <v>17.3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206-2026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46050</v>
      </c>
      <c r="E627" s="1" t="n">
        <v>46309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46064</v>
      </c>
      <c r="E628" s="1" t="n">
        <v>46309</v>
      </c>
      <c r="F628" t="inlineStr">
        <is>
          <t>BLEKINGE LÄN</t>
        </is>
      </c>
      <c r="G628" t="inlineStr">
        <is>
          <t>RONNEBY</t>
        </is>
      </c>
      <c r="I628" t="n">
        <v>24.3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782-2026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46099</v>
      </c>
      <c r="E629" s="1" t="n">
        <v>46309</v>
      </c>
      <c r="F629" t="inlineStr">
        <is>
          <t>BLEKINGE LÄN</t>
        </is>
      </c>
      <c r="G629" t="inlineStr">
        <is>
          <t>RONNEBY</t>
        </is>
      </c>
      <c r="I629" t="n">
        <v>26.6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2026-10-14T02:06:35Z</dcterms:created>
  <dcterms:modified xmlns:dcterms="http://purl.org/dc/terms/" xmlns:xsi="http://www.w3.org/2001/XMLSchema-instance" xsi:type="dcterms:W3CDTF">2026-10-14T02:06:36Z</dcterms:modified>
</cp:coreProperties>
</file>