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46274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46274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46274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46274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46274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46274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46274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55925-2025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45973</v>
      </c>
      <c r="E15" s="1" t="n">
        <v>46274</v>
      </c>
      <c r="F15" t="inlineStr">
        <is>
          <t>BLEKINGE LÄN</t>
        </is>
      </c>
      <c r="G15" t="inlineStr">
        <is>
          <t>RONNEBY</t>
        </is>
      </c>
      <c r="I15" t="n">
        <v>6.4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17</v>
      </c>
      <c r="U15" t="n">
        <v>1</v>
      </c>
      <c r="V15" s="2" t="inlineStr">
        <is>
          <t>Ask
Flikros
Ekoxe</t>
        </is>
      </c>
      <c r="W15">
        <f>HYPERLINK("https://klasma.github.io/Logging_1081/artfynd/A 55925-2025 artfynd.xlsx", "A 55925-2025")</f>
        <v/>
      </c>
      <c r="X15">
        <f>HYPERLINK("https://klasma.github.io/Logging_1081/kartor/A 55925-2025 karta.png", "A 55925-2025")</f>
        <v/>
      </c>
      <c r="Y15">
        <f>HYPERLINK("https://klasma.github.io/Logging_1081/kartor_geotiff/A 55925-2025 georefererad karta.tif", "A 55925-2025")</f>
        <v/>
      </c>
      <c r="AA15">
        <f>HYPERLINK("https://klasma.github.io/Logging_1081/klagomål/A 55925-2025 FSC-klagomål.docx", "A 55925-2025")</f>
        <v/>
      </c>
      <c r="AB15">
        <f>HYPERLINK("https://klasma.github.io/Logging_1081/klagomålsmail/A 55925-2025 FSC-klagomål mail.docx", "A 55925-2025")</f>
        <v/>
      </c>
      <c r="AC15">
        <f>HYPERLINK("https://klasma.github.io/Logging_1081/tillsyn/A 55925-2025 tillsynsbegäran.docx", "A 55925-2025")</f>
        <v/>
      </c>
      <c r="AD15">
        <f>HYPERLINK("https://klasma.github.io/Logging_1081/tillsynsmail/A 55925-2025 tillsynsbegäran mail.docx", "A 55925-2025")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46274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46274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46274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14625-2022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46274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Havstulpanlav
Klippfrullania</t>
        </is>
      </c>
      <c r="W19">
        <f>HYPERLINK("https://klasma.github.io/Logging_1081/artfynd/A 14625-2022 artfynd.xlsx", "A 14625-2022")</f>
        <v/>
      </c>
      <c r="X19">
        <f>HYPERLINK("https://klasma.github.io/Logging_1081/kartor/A 14625-2022 karta.png", "A 14625-2022")</f>
        <v/>
      </c>
      <c r="Y19">
        <f>HYPERLINK("https://klasma.github.io/Logging_1081/kartor_geotiff/A 14625-2022 georefererad karta.tif", "A 14625-2022")</f>
        <v/>
      </c>
      <c r="AA19">
        <f>HYPERLINK("https://klasma.github.io/Logging_1081/klagomål/A 14625-2022 FSC-klagomål.docx", "A 14625-2022")</f>
        <v/>
      </c>
      <c r="AB19">
        <f>HYPERLINK("https://klasma.github.io/Logging_1081/klagomålsmail/A 14625-2022 FSC-klagomål mail.docx", "A 14625-2022")</f>
        <v/>
      </c>
      <c r="AC19">
        <f>HYPERLINK("https://klasma.github.io/Logging_1081/tillsyn/A 14625-2022 tillsynsbegäran.docx", "A 14625-2022")</f>
        <v/>
      </c>
      <c r="AD19">
        <f>HYPERLINK("https://klasma.github.io/Logging_1081/tillsynsmail/A 14625-2022 tillsynsbegäran mail.docx", "A 14625-2022")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46274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46274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27307-2026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46188</v>
      </c>
      <c r="E22" s="1" t="n">
        <v>46274</v>
      </c>
      <c r="F22" t="inlineStr">
        <is>
          <t>BLEKINGE LÄN</t>
        </is>
      </c>
      <c r="G22" t="inlineStr">
        <is>
          <t>RONNEBY</t>
        </is>
      </c>
      <c r="I22" t="n">
        <v>4.2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Ekskinn
Noshornsoxe</t>
        </is>
      </c>
      <c r="W22">
        <f>HYPERLINK("https://klasma.github.io/Logging_1081/artfynd/A 27307-2026 artfynd.xlsx", "A 27307-2026")</f>
        <v/>
      </c>
      <c r="X22">
        <f>HYPERLINK("https://klasma.github.io/Logging_1081/kartor/A 27307-2026 karta.png", "A 27307-2026")</f>
        <v/>
      </c>
      <c r="Y22">
        <f>HYPERLINK("https://klasma.github.io/Logging_1081/kartor_geotiff/A 27307-2026 georefererad karta.tif", "A 27307-2026")</f>
        <v/>
      </c>
      <c r="AA22">
        <f>HYPERLINK("https://klasma.github.io/Logging_1081/klagomål/A 27307-2026 FSC-klagomål.docx", "A 27307-2026")</f>
        <v/>
      </c>
      <c r="AB22">
        <f>HYPERLINK("https://klasma.github.io/Logging_1081/klagomålsmail/A 27307-2026 FSC-klagomål mail.docx", "A 27307-2026")</f>
        <v/>
      </c>
      <c r="AC22">
        <f>HYPERLINK("https://klasma.github.io/Logging_1081/tillsyn/A 27307-2026 tillsynsbegäran.docx", "A 27307-2026")</f>
        <v/>
      </c>
      <c r="AD22">
        <f>HYPERLINK("https://klasma.github.io/Logging_1081/tillsynsmail/A 27307-2026 tillsynsbegäran mail.docx", "A 27307-2026")</f>
        <v/>
      </c>
    </row>
    <row r="23" ht="15" customHeight="1">
      <c r="A23" t="inlineStr">
        <is>
          <t>A 34168-2026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46274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2.8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Blåmossa</t>
        </is>
      </c>
      <c r="W23">
        <f>HYPERLINK("https://klasma.github.io/Logging_1081/artfynd/A 34168-2026 artfynd.xlsx", "A 34168-2026")</f>
        <v/>
      </c>
      <c r="X23">
        <f>HYPERLINK("https://klasma.github.io/Logging_1081/kartor/A 34168-2026 karta.png", "A 34168-2026")</f>
        <v/>
      </c>
      <c r="Y23">
        <f>HYPERLINK("https://klasma.github.io/Logging_1081/kartor_geotiff/A 34168-2026 georefererad karta.tif", "A 34168-2026")</f>
        <v/>
      </c>
      <c r="AA23">
        <f>HYPERLINK("https://klasma.github.io/Logging_1081/klagomål/A 34168-2026 FSC-klagomål.docx", "A 34168-2026")</f>
        <v/>
      </c>
      <c r="AB23">
        <f>HYPERLINK("https://klasma.github.io/Logging_1081/klagomålsmail/A 34168-2026 FSC-klagomål mail.docx", "A 34168-2026")</f>
        <v/>
      </c>
      <c r="AC23">
        <f>HYPERLINK("https://klasma.github.io/Logging_1081/tillsyn/A 34168-2026 tillsynsbegäran.docx", "A 34168-2026")</f>
        <v/>
      </c>
      <c r="AD23">
        <f>HYPERLINK("https://klasma.github.io/Logging_1081/tillsynsmail/A 34168-2026 tillsynsbegäran mail.docx", "A 34168-2026")</f>
        <v/>
      </c>
      <c r="AE23">
        <f>HYPERLINK("https://klasma.github.io/Logging_1081/fåglar/A 34168-2026 prioriterade fågelarter.docx", "A 34168-2026")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46274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46274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46274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46274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t="n">
        <v>0</v>
      </c>
      <c r="V27" s="2" t="inlineStr">
        <is>
          <t>Murgröna
Rostfläck</t>
        </is>
      </c>
      <c r="W27">
        <f>HYPERLINK("https://klasma.github.io/Logging_1081/artfynd/A 36463-2023 artfynd.xlsx", "A 36463-2023")</f>
        <v/>
      </c>
      <c r="X27">
        <f>HYPERLINK("https://klasma.github.io/Logging_1081/kartor/A 36463-2023 karta.png", "A 36463-2023")</f>
        <v/>
      </c>
      <c r="Y27">
        <f>HYPERLINK("https://klasma.github.io/Logging_1081/kartor_geotiff/A 36463-2023 georefererad karta.tif", "A 36463-2023")</f>
        <v/>
      </c>
      <c r="AA27">
        <f>HYPERLINK("https://klasma.github.io/Logging_1081/klagomål/A 36463-2023 FSC-klagomål.docx", "A 36463-2023")</f>
        <v/>
      </c>
      <c r="AB27">
        <f>HYPERLINK("https://klasma.github.io/Logging_1081/klagomålsmail/A 36463-2023 FSC-klagomål mail.docx", "A 36463-2023")</f>
        <v/>
      </c>
      <c r="AC27">
        <f>HYPERLINK("https://klasma.github.io/Logging_1081/tillsyn/A 36463-2023 tillsynsbegäran.docx", "A 36463-2023")</f>
        <v/>
      </c>
      <c r="AD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46274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46274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46274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46274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46274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25104-2026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46274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Backsippa</t>
        </is>
      </c>
      <c r="W33">
        <f>HYPERLINK("https://klasma.github.io/Logging_1081/artfynd/A 25104-2026 artfynd.xlsx", "A 25104-2026")</f>
        <v/>
      </c>
      <c r="X33">
        <f>HYPERLINK("https://klasma.github.io/Logging_1081/kartor/A 25104-2026 karta.png", "A 25104-2026")</f>
        <v/>
      </c>
      <c r="Y33">
        <f>HYPERLINK("https://klasma.github.io/Logging_1081/kartor_geotiff/A 25104-2026 georefererad karta.tif", "A 25104-2026")</f>
        <v/>
      </c>
      <c r="AA33">
        <f>HYPERLINK("https://klasma.github.io/Logging_1081/klagomål/A 25104-2026 FSC-klagomål.docx", "A 25104-2026")</f>
        <v/>
      </c>
      <c r="AB33">
        <f>HYPERLINK("https://klasma.github.io/Logging_1081/klagomålsmail/A 25104-2026 FSC-klagomål mail.docx", "A 25104-2026")</f>
        <v/>
      </c>
      <c r="AC33">
        <f>HYPERLINK("https://klasma.github.io/Logging_1081/tillsyn/A 25104-2026 tillsynsbegäran.docx", "A 25104-2026")</f>
        <v/>
      </c>
      <c r="AD33">
        <f>HYPERLINK("https://klasma.github.io/Logging_1081/tillsynsmail/A 25104-2026 tillsynsbegäran mail.docx", "A 25104-2026")</f>
        <v/>
      </c>
    </row>
    <row r="34" ht="15" customHeight="1">
      <c r="A34" t="inlineStr">
        <is>
          <t>A 26288-2026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46274</v>
      </c>
      <c r="F34" t="inlineStr">
        <is>
          <t>BLEKINGE LÄN</t>
        </is>
      </c>
      <c r="G34" t="inlineStr">
        <is>
          <t>RONNEBY</t>
        </is>
      </c>
      <c r="H34" t="inlineStr">
        <is>
          <t>Övriga Aktiebolag</t>
        </is>
      </c>
      <c r="I34" t="n">
        <v>1.6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Havstulpanlav</t>
        </is>
      </c>
      <c r="W34">
        <f>HYPERLINK("https://klasma.github.io/Logging_1081/artfynd/A 26288-2026 artfynd.xlsx", "A 26288-2026")</f>
        <v/>
      </c>
      <c r="X34">
        <f>HYPERLINK("https://klasma.github.io/Logging_1081/kartor/A 26288-2026 karta.png", "A 26288-2026")</f>
        <v/>
      </c>
      <c r="Y34">
        <f>HYPERLINK("https://klasma.github.io/Logging_1081/kartor_geotiff/A 26288-2026 georefererad karta.tif", "A 26288-2026")</f>
        <v/>
      </c>
      <c r="AA34">
        <f>HYPERLINK("https://klasma.github.io/Logging_1081/klagomål/A 26288-2026 FSC-klagomål.docx", "A 26288-2026")</f>
        <v/>
      </c>
      <c r="AB34">
        <f>HYPERLINK("https://klasma.github.io/Logging_1081/klagomålsmail/A 26288-2026 FSC-klagomål mail.docx", "A 26288-2026")</f>
        <v/>
      </c>
      <c r="AC34">
        <f>HYPERLINK("https://klasma.github.io/Logging_1081/tillsyn/A 26288-2026 tillsynsbegäran.docx", "A 26288-2026")</f>
        <v/>
      </c>
      <c r="AD34">
        <f>HYPERLINK("https://klasma.github.io/Logging_1081/tillsynsmail/A 26288-2026 tillsynsbegäran mail.docx", "A 26288-2026")</f>
        <v/>
      </c>
    </row>
    <row r="35" ht="15" customHeight="1">
      <c r="A35" t="inlineStr">
        <is>
          <t>A 26114-2026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46274</v>
      </c>
      <c r="F35" t="inlineStr">
        <is>
          <t>BLEKINGE LÄN</t>
        </is>
      </c>
      <c r="G35" t="inlineStr">
        <is>
          <t>RONNEBY</t>
        </is>
      </c>
      <c r="I35" t="n">
        <v>1.3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HYPERLINK("https://klasma.github.io/Logging_1081/artfynd/A 26114-2026 artfynd.xlsx", "A 26114-2026")</f>
        <v/>
      </c>
      <c r="X35">
        <f>HYPERLINK("https://klasma.github.io/Logging_1081/kartor/A 26114-2026 karta.png", "A 26114-2026")</f>
        <v/>
      </c>
      <c r="Y35">
        <f>HYPERLINK("https://klasma.github.io/Logging_1081/kartor_geotiff/A 26114-2026 georefererad karta.tif", "A 26114-2026")</f>
        <v/>
      </c>
      <c r="AA35">
        <f>HYPERLINK("https://klasma.github.io/Logging_1081/klagomål/A 26114-2026 FSC-klagomål.docx", "A 26114-2026")</f>
        <v/>
      </c>
      <c r="AB35">
        <f>HYPERLINK("https://klasma.github.io/Logging_1081/klagomålsmail/A 26114-2026 FSC-klagomål mail.docx", "A 26114-2026")</f>
        <v/>
      </c>
      <c r="AC35">
        <f>HYPERLINK("https://klasma.github.io/Logging_1081/tillsyn/A 26114-2026 tillsynsbegäran.docx", "A 26114-2026")</f>
        <v/>
      </c>
      <c r="AD35">
        <f>HYPERLINK("https://klasma.github.io/Logging_1081/tillsynsmail/A 26114-2026 tillsynsbegäran mail.docx", "A 26114-2026")</f>
        <v/>
      </c>
    </row>
    <row r="36" ht="15" customHeight="1">
      <c r="A36" t="inlineStr">
        <is>
          <t>A 45413-2023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46274</v>
      </c>
      <c r="F36" t="inlineStr">
        <is>
          <t>BLEKINGE LÄN</t>
        </is>
      </c>
      <c r="G36" t="inlineStr">
        <is>
          <t>RONNEBY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HYPERLINK("https://klasma.github.io/Logging_1081/artfynd/A 45413-2023 artfynd.xlsx", "A 45413-2023")</f>
        <v/>
      </c>
      <c r="X36">
        <f>HYPERLINK("https://klasma.github.io/Logging_1081/kartor/A 45413-2023 karta.png", "A 45413-2023")</f>
        <v/>
      </c>
      <c r="Y36">
        <f>HYPERLINK("https://klasma.github.io/Logging_1081/kartor_geotiff/A 45413-2023 georefererad karta.tif", "A 45413-2023")</f>
        <v/>
      </c>
      <c r="AA36">
        <f>HYPERLINK("https://klasma.github.io/Logging_1081/klagomål/A 45413-2023 FSC-klagomål.docx", "A 45413-2023")</f>
        <v/>
      </c>
      <c r="AB36">
        <f>HYPERLINK("https://klasma.github.io/Logging_1081/klagomålsmail/A 45413-2023 FSC-klagomål mail.docx", "A 45413-2023")</f>
        <v/>
      </c>
      <c r="AC36">
        <f>HYPERLINK("https://klasma.github.io/Logging_1081/tillsyn/A 45413-2023 tillsynsbegäran.docx", "A 45413-2023")</f>
        <v/>
      </c>
      <c r="AD36">
        <f>HYPERLINK("https://klasma.github.io/Logging_1081/tillsynsmail/A 45413-2023 tillsynsbegäran mail.docx", "A 45413-2023")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46274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33929-2026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46252</v>
      </c>
      <c r="E38" s="1" t="n">
        <v>46274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Backmåra</t>
        </is>
      </c>
      <c r="W38">
        <f>HYPERLINK("https://klasma.github.io/Logging_1081/artfynd/A 33929-2026 artfynd.xlsx", "A 33929-2026")</f>
        <v/>
      </c>
      <c r="X38">
        <f>HYPERLINK("https://klasma.github.io/Logging_1081/kartor/A 33929-2026 karta.png", "A 33929-2026")</f>
        <v/>
      </c>
      <c r="Y38">
        <f>HYPERLINK("https://klasma.github.io/Logging_1081/kartor_geotiff/A 33929-2026 georefererad karta.tif", "A 33929-2026")</f>
        <v/>
      </c>
      <c r="AA38">
        <f>HYPERLINK("https://klasma.github.io/Logging_1081/klagomål/A 33929-2026 FSC-klagomål.docx", "A 33929-2026")</f>
        <v/>
      </c>
      <c r="AB38">
        <f>HYPERLINK("https://klasma.github.io/Logging_1081/klagomålsmail/A 33929-2026 FSC-klagomål mail.docx", "A 33929-2026")</f>
        <v/>
      </c>
      <c r="AC38">
        <f>HYPERLINK("https://klasma.github.io/Logging_1081/tillsyn/A 33929-2026 tillsynsbegäran.docx", "A 33929-2026")</f>
        <v/>
      </c>
      <c r="AD38">
        <f>HYPERLINK("https://klasma.github.io/Logging_1081/tillsynsmail/A 33929-2026 tillsynsbegäran mail.docx", "A 33929-2026")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46274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19471-2026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46133</v>
      </c>
      <c r="E40" s="1" t="n">
        <v>46274</v>
      </c>
      <c r="F40" t="inlineStr">
        <is>
          <t>BLEKINGE LÄN</t>
        </is>
      </c>
      <c r="G40" t="inlineStr">
        <is>
          <t>RONNEBY</t>
        </is>
      </c>
      <c r="I40" t="n">
        <v>1.2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19471-2026 artfynd.xlsx", "A 19471-2026")</f>
        <v/>
      </c>
      <c r="X40">
        <f>HYPERLINK("https://klasma.github.io/Logging_1081/kartor/A 19471-2026 karta.png", "A 19471-2026")</f>
        <v/>
      </c>
      <c r="Y40">
        <f>HYPERLINK("https://klasma.github.io/Logging_1081/kartor_geotiff/A 19471-2026 georefererad karta.tif", "A 19471-2026")</f>
        <v/>
      </c>
      <c r="AA40">
        <f>HYPERLINK("https://klasma.github.io/Logging_1081/klagomål/A 19471-2026 FSC-klagomål.docx", "A 19471-2026")</f>
        <v/>
      </c>
      <c r="AB40">
        <f>HYPERLINK("https://klasma.github.io/Logging_1081/klagomålsmail/A 19471-2026 FSC-klagomål mail.docx", "A 19471-2026")</f>
        <v/>
      </c>
      <c r="AC40">
        <f>HYPERLINK("https://klasma.github.io/Logging_1081/tillsyn/A 19471-2026 tillsynsbegäran.docx", "A 19471-2026")</f>
        <v/>
      </c>
      <c r="AD40">
        <f>HYPERLINK("https://klasma.github.io/Logging_1081/tillsynsmail/A 19471-2026 tillsynsbegäran mail.docx", "A 19471-2026")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46274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46274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46274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46274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46274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46274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46274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46274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46274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46274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46274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46274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46274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46274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46274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46274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46274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46274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46274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46274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46274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46274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46274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46274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46274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46274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46274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46274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46274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46274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46274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46274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46274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46274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46274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46274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46274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46274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46274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46274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46274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46274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46274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46274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46274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46274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46274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46274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46274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46274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46274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46274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61657-2021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46274</v>
      </c>
      <c r="F93" t="inlineStr">
        <is>
          <t>BLEKINGE LÄN</t>
        </is>
      </c>
      <c r="G93" t="inlineStr">
        <is>
          <t>RONNEBY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46274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46274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46274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46274</v>
      </c>
      <c r="F97" t="inlineStr">
        <is>
          <t>BLEKINGE LÄN</t>
        </is>
      </c>
      <c r="G97" t="inlineStr">
        <is>
          <t>RONNEBY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46274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44504</v>
      </c>
      <c r="E99" s="1" t="n">
        <v>46274</v>
      </c>
      <c r="F99" t="inlineStr">
        <is>
          <t>BLEKINGE LÄN</t>
        </is>
      </c>
      <c r="G99" t="inlineStr">
        <is>
          <t>RONNEBY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46274</v>
      </c>
      <c r="F100" t="inlineStr">
        <is>
          <t>BLEKINGE LÄN</t>
        </is>
      </c>
      <c r="G100" t="inlineStr">
        <is>
          <t>RONNEBY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46274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46274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46274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46274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46274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46274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49740-2021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46274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46274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46274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44762</v>
      </c>
      <c r="E110" s="1" t="n">
        <v>46274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46274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46274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46274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46274</v>
      </c>
      <c r="F114" t="inlineStr">
        <is>
          <t>BLEKINGE LÄN</t>
        </is>
      </c>
      <c r="G114" t="inlineStr">
        <is>
          <t>RONNEBY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46274</v>
      </c>
      <c r="F115" t="inlineStr">
        <is>
          <t>BLEKINGE LÄN</t>
        </is>
      </c>
      <c r="G115" t="inlineStr">
        <is>
          <t>RONNEBY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46274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46274</v>
      </c>
      <c r="F117" t="inlineStr">
        <is>
          <t>BLEKINGE LÄN</t>
        </is>
      </c>
      <c r="G117" t="inlineStr">
        <is>
          <t>RONNEBY</t>
        </is>
      </c>
      <c r="H117" t="inlineStr">
        <is>
          <t>Övriga Aktiebolag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46274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45328</v>
      </c>
      <c r="E119" s="1" t="n">
        <v>46274</v>
      </c>
      <c r="F119" t="inlineStr">
        <is>
          <t>BLEKINGE LÄN</t>
        </is>
      </c>
      <c r="G119" t="inlineStr">
        <is>
          <t>RONNEBY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46274</v>
      </c>
      <c r="F120" t="inlineStr">
        <is>
          <t>BLEKINGE LÄN</t>
        </is>
      </c>
      <c r="G120" t="inlineStr">
        <is>
          <t>RONNEBY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46274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46274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46274</v>
      </c>
      <c r="F123" t="inlineStr">
        <is>
          <t>BLEKINGE LÄN</t>
        </is>
      </c>
      <c r="G123" t="inlineStr">
        <is>
          <t>RONNEBY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44617</v>
      </c>
      <c r="E124" s="1" t="n">
        <v>46274</v>
      </c>
      <c r="F124" t="inlineStr">
        <is>
          <t>BLEKINGE LÄN</t>
        </is>
      </c>
      <c r="G124" t="inlineStr">
        <is>
          <t>RONNEBY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46274</v>
      </c>
      <c r="F125" t="inlineStr">
        <is>
          <t>BLEKINGE LÄN</t>
        </is>
      </c>
      <c r="G125" t="inlineStr">
        <is>
          <t>RONNEBY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46274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46274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45012</v>
      </c>
      <c r="E128" s="1" t="n">
        <v>46274</v>
      </c>
      <c r="F128" t="inlineStr">
        <is>
          <t>BLEKINGE LÄN</t>
        </is>
      </c>
      <c r="G128" t="inlineStr">
        <is>
          <t>RONNEBY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46274</v>
      </c>
      <c r="F129" t="inlineStr">
        <is>
          <t>BLEKINGE LÄN</t>
        </is>
      </c>
      <c r="G129" t="inlineStr">
        <is>
          <t>RONNEBY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46274</v>
      </c>
      <c r="F130" t="inlineStr">
        <is>
          <t>BLEKINGE LÄN</t>
        </is>
      </c>
      <c r="G130" t="inlineStr">
        <is>
          <t>RONNEBY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45341</v>
      </c>
      <c r="E131" s="1" t="n">
        <v>46274</v>
      </c>
      <c r="F131" t="inlineStr">
        <is>
          <t>BLEKINGE LÄN</t>
        </is>
      </c>
      <c r="G131" t="inlineStr">
        <is>
          <t>RONNEBY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46274</v>
      </c>
      <c r="F132" t="inlineStr">
        <is>
          <t>BLEKINGE LÄN</t>
        </is>
      </c>
      <c r="G132" t="inlineStr">
        <is>
          <t>RONNEBY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46274</v>
      </c>
      <c r="F133" t="inlineStr">
        <is>
          <t>BLEKINGE LÄN</t>
        </is>
      </c>
      <c r="G133" t="inlineStr">
        <is>
          <t>RONNEBY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44944</v>
      </c>
      <c r="E134" s="1" t="n">
        <v>46274</v>
      </c>
      <c r="F134" t="inlineStr">
        <is>
          <t>BLEKINGE LÄN</t>
        </is>
      </c>
      <c r="G134" t="inlineStr">
        <is>
          <t>RONNEBY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46274</v>
      </c>
      <c r="F135" t="inlineStr">
        <is>
          <t>BLEKINGE LÄN</t>
        </is>
      </c>
      <c r="G135" t="inlineStr">
        <is>
          <t>RONNEBY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45621</v>
      </c>
      <c r="E136" s="1" t="n">
        <v>46274</v>
      </c>
      <c r="F136" t="inlineStr">
        <is>
          <t>BLEKINGE LÄN</t>
        </is>
      </c>
      <c r="G136" t="inlineStr">
        <is>
          <t>RONNEBY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46274</v>
      </c>
      <c r="F137" t="inlineStr">
        <is>
          <t>BLEKINGE LÄN</t>
        </is>
      </c>
      <c r="G137" t="inlineStr">
        <is>
          <t>RONNEBY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46274</v>
      </c>
      <c r="F138" t="inlineStr">
        <is>
          <t>BLEKINGE LÄN</t>
        </is>
      </c>
      <c r="G138" t="inlineStr">
        <is>
          <t>RONNEBY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46274</v>
      </c>
      <c r="F139" t="inlineStr">
        <is>
          <t>BLEKINGE LÄN</t>
        </is>
      </c>
      <c r="G139" t="inlineStr">
        <is>
          <t>RONNEBY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46274</v>
      </c>
      <c r="F140" t="inlineStr">
        <is>
          <t>BLEKINGE LÄN</t>
        </is>
      </c>
      <c r="G140" t="inlineStr">
        <is>
          <t>RONNEBY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46274</v>
      </c>
      <c r="F141" t="inlineStr">
        <is>
          <t>BLEKINGE LÄN</t>
        </is>
      </c>
      <c r="G141" t="inlineStr">
        <is>
          <t>RONNEBY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45128</v>
      </c>
      <c r="E142" s="1" t="n">
        <v>46274</v>
      </c>
      <c r="F142" t="inlineStr">
        <is>
          <t>BLEKINGE LÄN</t>
        </is>
      </c>
      <c r="G142" t="inlineStr">
        <is>
          <t>RONNEBY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46274</v>
      </c>
      <c r="F143" t="inlineStr">
        <is>
          <t>BLEKINGE LÄN</t>
        </is>
      </c>
      <c r="G143" t="inlineStr">
        <is>
          <t>RONNEBY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46274</v>
      </c>
      <c r="F144" t="inlineStr">
        <is>
          <t>BLEKINGE LÄN</t>
        </is>
      </c>
      <c r="G144" t="inlineStr">
        <is>
          <t>RONNEBY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45482</v>
      </c>
      <c r="E145" s="1" t="n">
        <v>46274</v>
      </c>
      <c r="F145" t="inlineStr">
        <is>
          <t>BLEKINGE LÄN</t>
        </is>
      </c>
      <c r="G145" t="inlineStr">
        <is>
          <t>RONNEBY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45503</v>
      </c>
      <c r="E146" s="1" t="n">
        <v>46274</v>
      </c>
      <c r="F146" t="inlineStr">
        <is>
          <t>BLEKINGE LÄN</t>
        </is>
      </c>
      <c r="G146" t="inlineStr">
        <is>
          <t>RONNEBY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45739</v>
      </c>
      <c r="E147" s="1" t="n">
        <v>46274</v>
      </c>
      <c r="F147" t="inlineStr">
        <is>
          <t>BLEKINGE LÄN</t>
        </is>
      </c>
      <c r="G147" t="inlineStr">
        <is>
          <t>RONNEBY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44987</v>
      </c>
      <c r="E148" s="1" t="n">
        <v>46274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46274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46274</v>
      </c>
      <c r="F150" t="inlineStr">
        <is>
          <t>BLEKINGE LÄN</t>
        </is>
      </c>
      <c r="G150" t="inlineStr">
        <is>
          <t>RONNEBY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46274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46274</v>
      </c>
      <c r="F152" t="inlineStr">
        <is>
          <t>BLEKINGE LÄN</t>
        </is>
      </c>
      <c r="G152" t="inlineStr">
        <is>
          <t>RONNEBY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46274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45061</v>
      </c>
      <c r="E154" s="1" t="n">
        <v>46274</v>
      </c>
      <c r="F154" t="inlineStr">
        <is>
          <t>BLEKINGE LÄN</t>
        </is>
      </c>
      <c r="G154" t="inlineStr">
        <is>
          <t>RONNEBY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45432</v>
      </c>
      <c r="E155" s="1" t="n">
        <v>46274</v>
      </c>
      <c r="F155" t="inlineStr">
        <is>
          <t>BLEKINGE LÄN</t>
        </is>
      </c>
      <c r="G155" t="inlineStr">
        <is>
          <t>RONNEBY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45115</v>
      </c>
      <c r="E156" s="1" t="n">
        <v>46274</v>
      </c>
      <c r="F156" t="inlineStr">
        <is>
          <t>BLEKINGE LÄN</t>
        </is>
      </c>
      <c r="G156" t="inlineStr">
        <is>
          <t>RONNEBY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46274</v>
      </c>
      <c r="F157" t="inlineStr">
        <is>
          <t>BLEKINGE LÄN</t>
        </is>
      </c>
      <c r="G157" t="inlineStr">
        <is>
          <t>RONNEBY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59676-2022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46274</v>
      </c>
      <c r="F158" t="inlineStr">
        <is>
          <t>BLEKINGE LÄN</t>
        </is>
      </c>
      <c r="G158" t="inlineStr">
        <is>
          <t>RONNEBY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45147</v>
      </c>
      <c r="E159" s="1" t="n">
        <v>46274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45012</v>
      </c>
      <c r="E160" s="1" t="n">
        <v>46274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statliga verk och myndigheter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44880</v>
      </c>
      <c r="E161" s="1" t="n">
        <v>46274</v>
      </c>
      <c r="F161" t="inlineStr">
        <is>
          <t>BLEKINGE LÄN</t>
        </is>
      </c>
      <c r="G161" t="inlineStr">
        <is>
          <t>RONNEBY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44822</v>
      </c>
      <c r="E162" s="1" t="n">
        <v>46274</v>
      </c>
      <c r="F162" t="inlineStr">
        <is>
          <t>BLEKINGE LÄN</t>
        </is>
      </c>
      <c r="G162" t="inlineStr">
        <is>
          <t>RONNEBY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45426</v>
      </c>
      <c r="E163" s="1" t="n">
        <v>46274</v>
      </c>
      <c r="F163" t="inlineStr">
        <is>
          <t>BLEKINGE LÄN</t>
        </is>
      </c>
      <c r="G163" t="inlineStr">
        <is>
          <t>RONNEBY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46274</v>
      </c>
      <c r="F164" t="inlineStr">
        <is>
          <t>BLEKINGE LÄN</t>
        </is>
      </c>
      <c r="G164" t="inlineStr">
        <is>
          <t>RONNEBY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45440</v>
      </c>
      <c r="E165" s="1" t="n">
        <v>46274</v>
      </c>
      <c r="F165" t="inlineStr">
        <is>
          <t>BLEKINGE LÄN</t>
        </is>
      </c>
      <c r="G165" t="inlineStr">
        <is>
          <t>RONNEBY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46274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45299</v>
      </c>
      <c r="E167" s="1" t="n">
        <v>46274</v>
      </c>
      <c r="F167" t="inlineStr">
        <is>
          <t>BLEKINGE LÄN</t>
        </is>
      </c>
      <c r="G167" t="inlineStr">
        <is>
          <t>RONNEBY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44884</v>
      </c>
      <c r="E168" s="1" t="n">
        <v>46274</v>
      </c>
      <c r="F168" t="inlineStr">
        <is>
          <t>BLEKINGE LÄN</t>
        </is>
      </c>
      <c r="G168" t="inlineStr">
        <is>
          <t>RONNEBY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29551-2022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46274</v>
      </c>
      <c r="F169" t="inlineStr">
        <is>
          <t>BLEKINGE LÄN</t>
        </is>
      </c>
      <c r="G169" t="inlineStr">
        <is>
          <t>RONNEBY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46274</v>
      </c>
      <c r="F170" t="inlineStr">
        <is>
          <t>BLEKINGE LÄN</t>
        </is>
      </c>
      <c r="G170" t="inlineStr">
        <is>
          <t>RONNEBY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46274</v>
      </c>
      <c r="F171" t="inlineStr">
        <is>
          <t>BLEKINGE LÄN</t>
        </is>
      </c>
      <c r="G171" t="inlineStr">
        <is>
          <t>RONNEBY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46274</v>
      </c>
      <c r="F172" t="inlineStr">
        <is>
          <t>BLEKINGE LÄN</t>
        </is>
      </c>
      <c r="G172" t="inlineStr">
        <is>
          <t>RONNEBY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46274</v>
      </c>
      <c r="F173" t="inlineStr">
        <is>
          <t>BLEKINGE LÄN</t>
        </is>
      </c>
      <c r="G173" t="inlineStr">
        <is>
          <t>RONNEBY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45402</v>
      </c>
      <c r="E174" s="1" t="n">
        <v>46274</v>
      </c>
      <c r="F174" t="inlineStr">
        <is>
          <t>BLEKINGE LÄN</t>
        </is>
      </c>
      <c r="G174" t="inlineStr">
        <is>
          <t>RONNEBY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46274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46274</v>
      </c>
      <c r="F176" t="inlineStr">
        <is>
          <t>BLEKINGE LÄN</t>
        </is>
      </c>
      <c r="G176" t="inlineStr">
        <is>
          <t>RONNEBY</t>
        </is>
      </c>
      <c r="I176" t="n">
        <v>14.4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33558-2023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45118</v>
      </c>
      <c r="E177" s="1" t="n">
        <v>46274</v>
      </c>
      <c r="F177" t="inlineStr">
        <is>
          <t>BLEKINGE LÄN</t>
        </is>
      </c>
      <c r="G177" t="inlineStr">
        <is>
          <t>RONNEBY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46274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46274</v>
      </c>
      <c r="F179" t="inlineStr">
        <is>
          <t>BLEKINGE LÄN</t>
        </is>
      </c>
      <c r="G179" t="inlineStr">
        <is>
          <t>RONNEBY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45192</v>
      </c>
      <c r="E180" s="1" t="n">
        <v>46274</v>
      </c>
      <c r="F180" t="inlineStr">
        <is>
          <t>BLEKINGE LÄN</t>
        </is>
      </c>
      <c r="G180" t="inlineStr">
        <is>
          <t>RONNEBY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46274</v>
      </c>
      <c r="F181" t="inlineStr">
        <is>
          <t>BLEKINGE LÄN</t>
        </is>
      </c>
      <c r="G181" t="inlineStr">
        <is>
          <t>RONNEBY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46274</v>
      </c>
      <c r="F182" t="inlineStr">
        <is>
          <t>BLEKINGE LÄN</t>
        </is>
      </c>
      <c r="G182" t="inlineStr">
        <is>
          <t>RONNEBY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46274</v>
      </c>
      <c r="F183" t="inlineStr">
        <is>
          <t>BLEKINGE LÄN</t>
        </is>
      </c>
      <c r="G183" t="inlineStr">
        <is>
          <t>RONNEBY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46274</v>
      </c>
      <c r="F184" t="inlineStr">
        <is>
          <t>BLEKINGE LÄN</t>
        </is>
      </c>
      <c r="G184" t="inlineStr">
        <is>
          <t>RONNEBY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45677</v>
      </c>
      <c r="E185" s="1" t="n">
        <v>46274</v>
      </c>
      <c r="F185" t="inlineStr">
        <is>
          <t>BLEKINGE LÄN</t>
        </is>
      </c>
      <c r="G185" t="inlineStr">
        <is>
          <t>RONNEBY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46274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46274</v>
      </c>
      <c r="F187" t="inlineStr">
        <is>
          <t>BLEKINGE LÄN</t>
        </is>
      </c>
      <c r="G187" t="inlineStr">
        <is>
          <t>RONNEBY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46274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46274</v>
      </c>
      <c r="F189" t="inlineStr">
        <is>
          <t>BLEKINGE LÄN</t>
        </is>
      </c>
      <c r="G189" t="inlineStr">
        <is>
          <t>RONNEBY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46274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45653</v>
      </c>
      <c r="E191" s="1" t="n">
        <v>46274</v>
      </c>
      <c r="F191" t="inlineStr">
        <is>
          <t>BLEKINGE LÄN</t>
        </is>
      </c>
      <c r="G191" t="inlineStr">
        <is>
          <t>RONNEBY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46274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46274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45360</v>
      </c>
      <c r="E194" s="1" t="n">
        <v>46274</v>
      </c>
      <c r="F194" t="inlineStr">
        <is>
          <t>BLEKINGE LÄN</t>
        </is>
      </c>
      <c r="G194" t="inlineStr">
        <is>
          <t>RONNEBY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46274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46274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46274</v>
      </c>
      <c r="F197" t="inlineStr">
        <is>
          <t>BLEKINGE LÄN</t>
        </is>
      </c>
      <c r="G197" t="inlineStr">
        <is>
          <t>RONNEBY</t>
        </is>
      </c>
      <c r="I197" t="n">
        <v>12.6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46274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46274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46274</v>
      </c>
      <c r="F200" t="inlineStr">
        <is>
          <t>BLEKINGE LÄN</t>
        </is>
      </c>
      <c r="G200" t="inlineStr">
        <is>
          <t>RONNEBY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46274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46274</v>
      </c>
      <c r="F202" t="inlineStr">
        <is>
          <t>BLEKINGE LÄN</t>
        </is>
      </c>
      <c r="G202" t="inlineStr">
        <is>
          <t>RONNEBY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46274</v>
      </c>
      <c r="F203" t="inlineStr">
        <is>
          <t>BLEKINGE LÄN</t>
        </is>
      </c>
      <c r="G203" t="inlineStr">
        <is>
          <t>RONNEBY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46274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45673</v>
      </c>
      <c r="E205" s="1" t="n">
        <v>46274</v>
      </c>
      <c r="F205" t="inlineStr">
        <is>
          <t>BLEKINGE LÄN</t>
        </is>
      </c>
      <c r="G205" t="inlineStr">
        <is>
          <t>RONNEBY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46274</v>
      </c>
      <c r="F206" t="inlineStr">
        <is>
          <t>BLEKINGE LÄN</t>
        </is>
      </c>
      <c r="G206" t="inlineStr">
        <is>
          <t>RONNEBY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46274</v>
      </c>
      <c r="F207" t="inlineStr">
        <is>
          <t>BLEKINGE LÄN</t>
        </is>
      </c>
      <c r="G207" t="inlineStr">
        <is>
          <t>RONNEBY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46274</v>
      </c>
      <c r="F208" t="inlineStr">
        <is>
          <t>BLEKINGE LÄN</t>
        </is>
      </c>
      <c r="G208" t="inlineStr">
        <is>
          <t>RONNEBY</t>
        </is>
      </c>
      <c r="H208" t="inlineStr">
        <is>
          <t>Kommuner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45460</v>
      </c>
      <c r="E209" s="1" t="n">
        <v>46274</v>
      </c>
      <c r="F209" t="inlineStr">
        <is>
          <t>BLEKINGE LÄN</t>
        </is>
      </c>
      <c r="G209" t="inlineStr">
        <is>
          <t>RONNEBY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46274</v>
      </c>
      <c r="F210" t="inlineStr">
        <is>
          <t>BLEKINGE LÄN</t>
        </is>
      </c>
      <c r="G210" t="inlineStr">
        <is>
          <t>RONNEBY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46274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45821</v>
      </c>
      <c r="E212" s="1" t="n">
        <v>46274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54248-2025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45964</v>
      </c>
      <c r="E213" s="1" t="n">
        <v>46274</v>
      </c>
      <c r="F213" t="inlineStr">
        <is>
          <t>BLEKINGE LÄN</t>
        </is>
      </c>
      <c r="G213" t="inlineStr">
        <is>
          <t>RONNEBY</t>
        </is>
      </c>
      <c r="H213" t="inlineStr">
        <is>
          <t>Kommuner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46274</v>
      </c>
      <c r="F214" t="inlineStr">
        <is>
          <t>BLEKINGE LÄN</t>
        </is>
      </c>
      <c r="G214" t="inlineStr">
        <is>
          <t>RONNEBY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46274</v>
      </c>
      <c r="F215" t="inlineStr">
        <is>
          <t>BLEKINGE LÄN</t>
        </is>
      </c>
      <c r="G215" t="inlineStr">
        <is>
          <t>RONNEBY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46274</v>
      </c>
      <c r="F216" t="inlineStr">
        <is>
          <t>BLEKINGE LÄN</t>
        </is>
      </c>
      <c r="G216" t="inlineStr">
        <is>
          <t>RONNEBY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46274</v>
      </c>
      <c r="F217" t="inlineStr">
        <is>
          <t>BLEKINGE LÄN</t>
        </is>
      </c>
      <c r="G217" t="inlineStr">
        <is>
          <t>RONNEBY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45843</v>
      </c>
      <c r="E218" s="1" t="n">
        <v>46274</v>
      </c>
      <c r="F218" t="inlineStr">
        <is>
          <t>BLEKINGE LÄN</t>
        </is>
      </c>
      <c r="G218" t="inlineStr">
        <is>
          <t>RONNEBY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45807</v>
      </c>
      <c r="E219" s="1" t="n">
        <v>46274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46274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46274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46274</v>
      </c>
      <c r="F222" t="inlineStr">
        <is>
          <t>BLEKINGE LÄN</t>
        </is>
      </c>
      <c r="G222" t="inlineStr">
        <is>
          <t>RONNEBY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45910</v>
      </c>
      <c r="E223" s="1" t="n">
        <v>46274</v>
      </c>
      <c r="F223" t="inlineStr">
        <is>
          <t>BLEKINGE LÄN</t>
        </is>
      </c>
      <c r="G223" t="inlineStr">
        <is>
          <t>RONNEBY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45757</v>
      </c>
      <c r="E224" s="1" t="n">
        <v>46274</v>
      </c>
      <c r="F224" t="inlineStr">
        <is>
          <t>BLEKINGE LÄN</t>
        </is>
      </c>
      <c r="G224" t="inlineStr">
        <is>
          <t>RONNEBY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46274</v>
      </c>
      <c r="F225" t="inlineStr">
        <is>
          <t>BLEKINGE LÄN</t>
        </is>
      </c>
      <c r="G225" t="inlineStr">
        <is>
          <t>RONNEBY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46274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46274</v>
      </c>
      <c r="F227" t="inlineStr">
        <is>
          <t>BLEKINGE LÄN</t>
        </is>
      </c>
      <c r="G227" t="inlineStr">
        <is>
          <t>RONNEBY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46274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46274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44966</v>
      </c>
      <c r="E230" s="1" t="n">
        <v>46274</v>
      </c>
      <c r="F230" t="inlineStr">
        <is>
          <t>BLEKINGE LÄN</t>
        </is>
      </c>
      <c r="G230" t="inlineStr">
        <is>
          <t>RONNEBY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46274</v>
      </c>
      <c r="F231" t="inlineStr">
        <is>
          <t>BLEKINGE LÄN</t>
        </is>
      </c>
      <c r="G231" t="inlineStr">
        <is>
          <t>RONNEBY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46274</v>
      </c>
      <c r="F232" t="inlineStr">
        <is>
          <t>BLEKINGE LÄN</t>
        </is>
      </c>
      <c r="G232" t="inlineStr">
        <is>
          <t>RONNEBY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46274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46274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46274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28975-2023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45104</v>
      </c>
      <c r="E236" s="1" t="n">
        <v>46274</v>
      </c>
      <c r="F236" t="inlineStr">
        <is>
          <t>BLEKINGE LÄN</t>
        </is>
      </c>
      <c r="G236" t="inlineStr">
        <is>
          <t>RONNEBY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46274</v>
      </c>
      <c r="F237" t="inlineStr">
        <is>
          <t>BLEKINGE LÄN</t>
        </is>
      </c>
      <c r="G237" t="inlineStr">
        <is>
          <t>RONNEBY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46274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46274</v>
      </c>
      <c r="F239" t="inlineStr">
        <is>
          <t>BLEKINGE LÄN</t>
        </is>
      </c>
      <c r="G239" t="inlineStr">
        <is>
          <t>RONNEBY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46274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46274</v>
      </c>
      <c r="F241" t="inlineStr">
        <is>
          <t>BLEKINGE LÄN</t>
        </is>
      </c>
      <c r="G241" t="inlineStr">
        <is>
          <t>RONNEBY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46274</v>
      </c>
      <c r="F242" t="inlineStr">
        <is>
          <t>BLEKINGE LÄN</t>
        </is>
      </c>
      <c r="G242" t="inlineStr">
        <is>
          <t>RONNEBY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46274</v>
      </c>
      <c r="F243" t="inlineStr">
        <is>
          <t>BLEKINGE LÄN</t>
        </is>
      </c>
      <c r="G243" t="inlineStr">
        <is>
          <t>RONNEBY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46274</v>
      </c>
      <c r="F244" t="inlineStr">
        <is>
          <t>BLEKINGE LÄN</t>
        </is>
      </c>
      <c r="G244" t="inlineStr">
        <is>
          <t>RONNEBY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46274</v>
      </c>
      <c r="F245" t="inlineStr">
        <is>
          <t>BLEKINGE LÄN</t>
        </is>
      </c>
      <c r="G245" t="inlineStr">
        <is>
          <t>RONNEBY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46274</v>
      </c>
      <c r="F246" t="inlineStr">
        <is>
          <t>BLEKINGE LÄN</t>
        </is>
      </c>
      <c r="G246" t="inlineStr">
        <is>
          <t>RONNEBY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44848</v>
      </c>
      <c r="E247" s="1" t="n">
        <v>46274</v>
      </c>
      <c r="F247" t="inlineStr">
        <is>
          <t>BLEKINGE LÄN</t>
        </is>
      </c>
      <c r="G247" t="inlineStr">
        <is>
          <t>RONNEBY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46274</v>
      </c>
      <c r="F248" t="inlineStr">
        <is>
          <t>BLEKINGE LÄN</t>
        </is>
      </c>
      <c r="G248" t="inlineStr">
        <is>
          <t>RONNEBY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46274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46274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46274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46274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46274</v>
      </c>
      <c r="F253" t="inlineStr">
        <is>
          <t>BLEKINGE LÄN</t>
        </is>
      </c>
      <c r="G253" t="inlineStr">
        <is>
          <t>RONNEBY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46147</v>
      </c>
      <c r="E254" s="1" t="n">
        <v>46274</v>
      </c>
      <c r="F254" t="inlineStr">
        <is>
          <t>BLEKINGE LÄN</t>
        </is>
      </c>
      <c r="G254" t="inlineStr">
        <is>
          <t>RONNEBY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46274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46274</v>
      </c>
      <c r="F256" t="inlineStr">
        <is>
          <t>BLEKINGE LÄN</t>
        </is>
      </c>
      <c r="G256" t="inlineStr">
        <is>
          <t>RONNEBY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46274</v>
      </c>
      <c r="F257" t="inlineStr">
        <is>
          <t>BLEKINGE LÄN</t>
        </is>
      </c>
      <c r="G257" t="inlineStr">
        <is>
          <t>RONNEBY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45505</v>
      </c>
      <c r="E258" s="1" t="n">
        <v>46274</v>
      </c>
      <c r="F258" t="inlineStr">
        <is>
          <t>BLEKINGE LÄN</t>
        </is>
      </c>
      <c r="G258" t="inlineStr">
        <is>
          <t>RONNEBY</t>
        </is>
      </c>
      <c r="H258" t="inlineStr">
        <is>
          <t>Kommuner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46274</v>
      </c>
      <c r="F259" t="inlineStr">
        <is>
          <t>BLEKINGE LÄN</t>
        </is>
      </c>
      <c r="G259" t="inlineStr">
        <is>
          <t>RONNEBY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46274</v>
      </c>
      <c r="F260" t="inlineStr">
        <is>
          <t>BLEKINGE LÄN</t>
        </is>
      </c>
      <c r="G260" t="inlineStr">
        <is>
          <t>RONNEBY</t>
        </is>
      </c>
      <c r="H260" t="inlineStr">
        <is>
          <t>Övriga Aktiebolag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54065-2024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45616</v>
      </c>
      <c r="E261" s="1" t="n">
        <v>46274</v>
      </c>
      <c r="F261" t="inlineStr">
        <is>
          <t>BLEKINGE LÄN</t>
        </is>
      </c>
      <c r="G261" t="inlineStr">
        <is>
          <t>RONNEBY</t>
        </is>
      </c>
      <c r="H261" t="inlineStr">
        <is>
          <t>Kommuner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45053</v>
      </c>
      <c r="E262" s="1" t="n">
        <v>46274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46274</v>
      </c>
      <c r="F263" t="inlineStr">
        <is>
          <t>BLEKINGE LÄN</t>
        </is>
      </c>
      <c r="G263" t="inlineStr">
        <is>
          <t>RONNEBY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45429</v>
      </c>
      <c r="E264" s="1" t="n">
        <v>46274</v>
      </c>
      <c r="F264" t="inlineStr">
        <is>
          <t>BLEKINGE LÄN</t>
        </is>
      </c>
      <c r="G264" t="inlineStr">
        <is>
          <t>RONNEBY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46274</v>
      </c>
      <c r="F265" t="inlineStr">
        <is>
          <t>BLEKINGE LÄN</t>
        </is>
      </c>
      <c r="G265" t="inlineStr">
        <is>
          <t>RONNEBY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51279-2025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46274</v>
      </c>
      <c r="F266" t="inlineStr">
        <is>
          <t>BLEKINGE LÄN</t>
        </is>
      </c>
      <c r="G266" t="inlineStr">
        <is>
          <t>RONNEBY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46274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46274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45630</v>
      </c>
      <c r="E269" s="1" t="n">
        <v>46274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46274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44944</v>
      </c>
      <c r="E271" s="1" t="n">
        <v>46274</v>
      </c>
      <c r="F271" t="inlineStr">
        <is>
          <t>BLEKINGE LÄN</t>
        </is>
      </c>
      <c r="G271" t="inlineStr">
        <is>
          <t>RONNEBY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46274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15264-2023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46274</v>
      </c>
      <c r="F273" t="inlineStr">
        <is>
          <t>BLEKINGE LÄN</t>
        </is>
      </c>
      <c r="G273" t="inlineStr">
        <is>
          <t>RONNEBY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33535-2025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45841</v>
      </c>
      <c r="E274" s="1" t="n">
        <v>46274</v>
      </c>
      <c r="F274" t="inlineStr">
        <is>
          <t>BLEKINGE LÄN</t>
        </is>
      </c>
      <c r="G274" t="inlineStr">
        <is>
          <t>RONNEBY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46274</v>
      </c>
      <c r="F275" t="inlineStr">
        <is>
          <t>BLEKINGE LÄN</t>
        </is>
      </c>
      <c r="G275" t="inlineStr">
        <is>
          <t>RONNEBY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32162-2022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46274</v>
      </c>
      <c r="F276" t="inlineStr">
        <is>
          <t>BLEKINGE LÄN</t>
        </is>
      </c>
      <c r="G276" t="inlineStr">
        <is>
          <t>RONNEBY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46274</v>
      </c>
      <c r="F277" t="inlineStr">
        <is>
          <t>BLEKINGE LÄN</t>
        </is>
      </c>
      <c r="G277" t="inlineStr">
        <is>
          <t>RONNEBY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46274</v>
      </c>
      <c r="F278" t="inlineStr">
        <is>
          <t>BLEKINGE LÄN</t>
        </is>
      </c>
      <c r="G278" t="inlineStr">
        <is>
          <t>RONNEBY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46274</v>
      </c>
      <c r="F279" t="inlineStr">
        <is>
          <t>BLEKINGE LÄN</t>
        </is>
      </c>
      <c r="G279" t="inlineStr">
        <is>
          <t>RONNEBY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45012</v>
      </c>
      <c r="E280" s="1" t="n">
        <v>46274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45462</v>
      </c>
      <c r="E281" s="1" t="n">
        <v>46274</v>
      </c>
      <c r="F281" t="inlineStr">
        <is>
          <t>BLEKINGE LÄN</t>
        </is>
      </c>
      <c r="G281" t="inlineStr">
        <is>
          <t>RONNEBY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46274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46274</v>
      </c>
      <c r="F283" t="inlineStr">
        <is>
          <t>BLEKINGE LÄN</t>
        </is>
      </c>
      <c r="G283" t="inlineStr">
        <is>
          <t>RONNEBY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46274</v>
      </c>
      <c r="F284" t="inlineStr">
        <is>
          <t>BLEKINGE LÄN</t>
        </is>
      </c>
      <c r="G284" t="inlineStr">
        <is>
          <t>RONNEBY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44966</v>
      </c>
      <c r="E285" s="1" t="n">
        <v>46274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26644-2022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46274</v>
      </c>
      <c r="F286" t="inlineStr">
        <is>
          <t>BLEKINGE LÄN</t>
        </is>
      </c>
      <c r="G286" t="inlineStr">
        <is>
          <t>RONNEBY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45272</v>
      </c>
      <c r="E287" s="1" t="n">
        <v>46274</v>
      </c>
      <c r="F287" t="inlineStr">
        <is>
          <t>BLEKINGE LÄN</t>
        </is>
      </c>
      <c r="G287" t="inlineStr">
        <is>
          <t>RONNEBY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46168</v>
      </c>
      <c r="E288" s="1" t="n">
        <v>46274</v>
      </c>
      <c r="F288" t="inlineStr">
        <is>
          <t>BLEKINGE LÄN</t>
        </is>
      </c>
      <c r="G288" t="inlineStr">
        <is>
          <t>RONNEBY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56139-2025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45974</v>
      </c>
      <c r="E289" s="1" t="n">
        <v>46274</v>
      </c>
      <c r="F289" t="inlineStr">
        <is>
          <t>BLEKINGE LÄN</t>
        </is>
      </c>
      <c r="G289" t="inlineStr">
        <is>
          <t>RONNEBY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45299</v>
      </c>
      <c r="E290" s="1" t="n">
        <v>46274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46274</v>
      </c>
      <c r="F291" t="inlineStr">
        <is>
          <t>BLEKINGE LÄN</t>
        </is>
      </c>
      <c r="G291" t="inlineStr">
        <is>
          <t>RONNEBY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46274</v>
      </c>
      <c r="F292" t="inlineStr">
        <is>
          <t>BLEKINGE LÄN</t>
        </is>
      </c>
      <c r="G292" t="inlineStr">
        <is>
          <t>RONNEBY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46274</v>
      </c>
      <c r="F293" t="inlineStr">
        <is>
          <t>BLEKINGE LÄN</t>
        </is>
      </c>
      <c r="G293" t="inlineStr">
        <is>
          <t>RONNEBY</t>
        </is>
      </c>
      <c r="H293" t="inlineStr">
        <is>
          <t>Övriga Aktiebolag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46274</v>
      </c>
      <c r="F294" t="inlineStr">
        <is>
          <t>BLEKINGE LÄN</t>
        </is>
      </c>
      <c r="G294" t="inlineStr">
        <is>
          <t>RONNEBY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46274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46274</v>
      </c>
      <c r="F296" t="inlineStr">
        <is>
          <t>BLEKINGE LÄN</t>
        </is>
      </c>
      <c r="G296" t="inlineStr">
        <is>
          <t>RONNEBY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12767-2023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46274</v>
      </c>
      <c r="F297" t="inlineStr">
        <is>
          <t>BLEKINGE LÄN</t>
        </is>
      </c>
      <c r="G297" t="inlineStr">
        <is>
          <t>RONNEBY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45001</v>
      </c>
      <c r="E298" s="1" t="n">
        <v>46274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46274</v>
      </c>
      <c r="F299" t="inlineStr">
        <is>
          <t>BLEKINGE LÄN</t>
        </is>
      </c>
      <c r="G299" t="inlineStr">
        <is>
          <t>RONNEBY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45505</v>
      </c>
      <c r="E300" s="1" t="n">
        <v>46274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45359</v>
      </c>
      <c r="E301" s="1" t="n">
        <v>46274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46274</v>
      </c>
      <c r="F302" t="inlineStr">
        <is>
          <t>BLEKINGE LÄN</t>
        </is>
      </c>
      <c r="G302" t="inlineStr">
        <is>
          <t>RONNEBY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46274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45589</v>
      </c>
      <c r="E304" s="1" t="n">
        <v>46274</v>
      </c>
      <c r="F304" t="inlineStr">
        <is>
          <t>BLEKINGE LÄN</t>
        </is>
      </c>
      <c r="G304" t="inlineStr">
        <is>
          <t>RONNEBY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46274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46274</v>
      </c>
      <c r="F306" t="inlineStr">
        <is>
          <t>BLEKINGE LÄN</t>
        </is>
      </c>
      <c r="G306" t="inlineStr">
        <is>
          <t>RONNEBY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46274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46274</v>
      </c>
      <c r="F308" t="inlineStr">
        <is>
          <t>BLEKINGE LÄN</t>
        </is>
      </c>
      <c r="G308" t="inlineStr">
        <is>
          <t>RONNEBY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58648-2025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45986</v>
      </c>
      <c r="E309" s="1" t="n">
        <v>46274</v>
      </c>
      <c r="F309" t="inlineStr">
        <is>
          <t>BLEKINGE LÄN</t>
        </is>
      </c>
      <c r="G309" t="inlineStr">
        <is>
          <t>RONNEBY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46274</v>
      </c>
      <c r="F310" t="inlineStr">
        <is>
          <t>BLEKINGE LÄN</t>
        </is>
      </c>
      <c r="G310" t="inlineStr">
        <is>
          <t>RONNEBY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46274</v>
      </c>
      <c r="F311" t="inlineStr">
        <is>
          <t>BLEKINGE LÄN</t>
        </is>
      </c>
      <c r="G311" t="inlineStr">
        <is>
          <t>RONNEBY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46274</v>
      </c>
      <c r="F312" t="inlineStr">
        <is>
          <t>BLEKINGE LÄN</t>
        </is>
      </c>
      <c r="G312" t="inlineStr">
        <is>
          <t>RONNEBY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46274</v>
      </c>
      <c r="F313" t="inlineStr">
        <is>
          <t>BLEKINGE LÄN</t>
        </is>
      </c>
      <c r="G313" t="inlineStr">
        <is>
          <t>RONNEBY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46274</v>
      </c>
      <c r="F314" t="inlineStr">
        <is>
          <t>BLEKINGE LÄN</t>
        </is>
      </c>
      <c r="G314" t="inlineStr">
        <is>
          <t>RONNEBY</t>
        </is>
      </c>
      <c r="I314" t="n">
        <v>14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45360</v>
      </c>
      <c r="E315" s="1" t="n">
        <v>46274</v>
      </c>
      <c r="F315" t="inlineStr">
        <is>
          <t>BLEKINGE LÄN</t>
        </is>
      </c>
      <c r="G315" t="inlineStr">
        <is>
          <t>RONNEBY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44565</v>
      </c>
      <c r="E316" s="1" t="n">
        <v>46274</v>
      </c>
      <c r="F316" t="inlineStr">
        <is>
          <t>BLEKINGE LÄN</t>
        </is>
      </c>
      <c r="G316" t="inlineStr">
        <is>
          <t>RONNEBY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45995</v>
      </c>
      <c r="E317" s="1" t="n">
        <v>46274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46274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46274</v>
      </c>
      <c r="F319" t="inlineStr">
        <is>
          <t>BLEKINGE LÄN</t>
        </is>
      </c>
      <c r="G319" t="inlineStr">
        <is>
          <t>RONNEBY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46274</v>
      </c>
      <c r="F320" t="inlineStr">
        <is>
          <t>BLEKINGE LÄN</t>
        </is>
      </c>
      <c r="G320" t="inlineStr">
        <is>
          <t>RONNEBY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45995</v>
      </c>
      <c r="E321" s="1" t="n">
        <v>46274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46274</v>
      </c>
      <c r="F322" t="inlineStr">
        <is>
          <t>BLEKINGE LÄN</t>
        </is>
      </c>
      <c r="G322" t="inlineStr">
        <is>
          <t>RONNEBY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44586</v>
      </c>
      <c r="E323" s="1" t="n">
        <v>46274</v>
      </c>
      <c r="F323" t="inlineStr">
        <is>
          <t>BLEKINGE LÄN</t>
        </is>
      </c>
      <c r="G323" t="inlineStr">
        <is>
          <t>RONNEBY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46274</v>
      </c>
      <c r="F324" t="inlineStr">
        <is>
          <t>BLEKINGE LÄN</t>
        </is>
      </c>
      <c r="G324" t="inlineStr">
        <is>
          <t>RONNEBY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46274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46274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46274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46274</v>
      </c>
      <c r="F328" t="inlineStr">
        <is>
          <t>BLEKINGE LÄN</t>
        </is>
      </c>
      <c r="G328" t="inlineStr">
        <is>
          <t>RONNEBY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46274</v>
      </c>
      <c r="F329" t="inlineStr">
        <is>
          <t>BLEKINGE LÄN</t>
        </is>
      </c>
      <c r="G329" t="inlineStr">
        <is>
          <t>RONNEBY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46274</v>
      </c>
      <c r="F330" t="inlineStr">
        <is>
          <t>BLEKINGE LÄN</t>
        </is>
      </c>
      <c r="G330" t="inlineStr">
        <is>
          <t>RONNEBY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62465-2025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46007</v>
      </c>
      <c r="E331" s="1" t="n">
        <v>46274</v>
      </c>
      <c r="F331" t="inlineStr">
        <is>
          <t>BLEKINGE LÄN</t>
        </is>
      </c>
      <c r="G331" t="inlineStr">
        <is>
          <t>RONNEBY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45610</v>
      </c>
      <c r="E332" s="1" t="n">
        <v>46274</v>
      </c>
      <c r="F332" t="inlineStr">
        <is>
          <t>BLEKINGE LÄN</t>
        </is>
      </c>
      <c r="G332" t="inlineStr">
        <is>
          <t>RONNEBY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44595</v>
      </c>
      <c r="E333" s="1" t="n">
        <v>46274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29552-2022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44754</v>
      </c>
      <c r="E334" s="1" t="n">
        <v>46274</v>
      </c>
      <c r="F334" t="inlineStr">
        <is>
          <t>BLEKINGE LÄN</t>
        </is>
      </c>
      <c r="G334" t="inlineStr">
        <is>
          <t>RONNEBY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44753</v>
      </c>
      <c r="E335" s="1" t="n">
        <v>46274</v>
      </c>
      <c r="F335" t="inlineStr">
        <is>
          <t>BLEKINGE LÄN</t>
        </is>
      </c>
      <c r="G335" t="inlineStr">
        <is>
          <t>RONNEBY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46274</v>
      </c>
      <c r="F336" t="inlineStr">
        <is>
          <t>BLEKINGE LÄN</t>
        </is>
      </c>
      <c r="G336" t="inlineStr">
        <is>
          <t>RONNEBY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46274</v>
      </c>
      <c r="F337" t="inlineStr">
        <is>
          <t>BLEKINGE LÄN</t>
        </is>
      </c>
      <c r="G337" t="inlineStr">
        <is>
          <t>RONNEBY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46274</v>
      </c>
      <c r="F338" t="inlineStr">
        <is>
          <t>BLEKINGE LÄN</t>
        </is>
      </c>
      <c r="G338" t="inlineStr">
        <is>
          <t>RONNEBY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45002</v>
      </c>
      <c r="E339" s="1" t="n">
        <v>46274</v>
      </c>
      <c r="F339" t="inlineStr">
        <is>
          <t>BLEKINGE LÄN</t>
        </is>
      </c>
      <c r="G339" t="inlineStr">
        <is>
          <t>RONNEBY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46274</v>
      </c>
      <c r="F340" t="inlineStr">
        <is>
          <t>BLEKINGE LÄN</t>
        </is>
      </c>
      <c r="G340" t="inlineStr">
        <is>
          <t>RONNEBY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46274</v>
      </c>
      <c r="F341" t="inlineStr">
        <is>
          <t>BLEKINGE LÄN</t>
        </is>
      </c>
      <c r="G341" t="inlineStr">
        <is>
          <t>RONNEBY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45246</v>
      </c>
      <c r="E342" s="1" t="n">
        <v>46274</v>
      </c>
      <c r="F342" t="inlineStr">
        <is>
          <t>BLEKINGE LÄN</t>
        </is>
      </c>
      <c r="G342" t="inlineStr">
        <is>
          <t>RONNEBY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46274</v>
      </c>
      <c r="F343" t="inlineStr">
        <is>
          <t>BLEKINGE LÄN</t>
        </is>
      </c>
      <c r="G343" t="inlineStr">
        <is>
          <t>RONNEBY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46274</v>
      </c>
      <c r="F344" t="inlineStr">
        <is>
          <t>BLEKINGE LÄN</t>
        </is>
      </c>
      <c r="G344" t="inlineStr">
        <is>
          <t>RONNEBY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45317-2025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45921</v>
      </c>
      <c r="E345" s="1" t="n">
        <v>46274</v>
      </c>
      <c r="F345" t="inlineStr">
        <is>
          <t>BLEKINGE LÄN</t>
        </is>
      </c>
      <c r="G345" t="inlineStr">
        <is>
          <t>RONNEBY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45001</v>
      </c>
      <c r="E346" s="1" t="n">
        <v>46274</v>
      </c>
      <c r="F346" t="inlineStr">
        <is>
          <t>BLEKINGE LÄN</t>
        </is>
      </c>
      <c r="G346" t="inlineStr">
        <is>
          <t>RONNEBY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45036</v>
      </c>
      <c r="E347" s="1" t="n">
        <v>46274</v>
      </c>
      <c r="F347" t="inlineStr">
        <is>
          <t>BLEKINGE LÄN</t>
        </is>
      </c>
      <c r="G347" t="inlineStr">
        <is>
          <t>RONNEBY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28732-2026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46198</v>
      </c>
      <c r="E348" s="1" t="n">
        <v>46274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45357</v>
      </c>
      <c r="E349" s="1" t="n">
        <v>46274</v>
      </c>
      <c r="F349" t="inlineStr">
        <is>
          <t>BLEKINGE LÄN</t>
        </is>
      </c>
      <c r="G349" t="inlineStr">
        <is>
          <t>RONNEBY</t>
        </is>
      </c>
      <c r="H349" t="inlineStr">
        <is>
          <t>Kommuner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19948-2023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46274</v>
      </c>
      <c r="F350" t="inlineStr">
        <is>
          <t>BLEKINGE LÄN</t>
        </is>
      </c>
      <c r="G350" t="inlineStr">
        <is>
          <t>RONNEBY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45555</v>
      </c>
      <c r="E351" s="1" t="n">
        <v>46274</v>
      </c>
      <c r="F351" t="inlineStr">
        <is>
          <t>BLEKINGE LÄN</t>
        </is>
      </c>
      <c r="G351" t="inlineStr">
        <is>
          <t>RONNEBY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45394</v>
      </c>
      <c r="E352" s="1" t="n">
        <v>46274</v>
      </c>
      <c r="F352" t="inlineStr">
        <is>
          <t>BLEKINGE LÄN</t>
        </is>
      </c>
      <c r="G352" t="inlineStr">
        <is>
          <t>RONNEBY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46079-2024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46274</v>
      </c>
      <c r="F353" t="inlineStr">
        <is>
          <t>BLEKINGE LÄN</t>
        </is>
      </c>
      <c r="G353" t="inlineStr">
        <is>
          <t>RONNEBY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46274</v>
      </c>
      <c r="F354" t="inlineStr">
        <is>
          <t>BLEKINGE LÄN</t>
        </is>
      </c>
      <c r="G354" t="inlineStr">
        <is>
          <t>RONNEBY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46274</v>
      </c>
      <c r="F355" t="inlineStr">
        <is>
          <t>BLEKINGE LÄN</t>
        </is>
      </c>
      <c r="G355" t="inlineStr">
        <is>
          <t>RONNEBY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45402</v>
      </c>
      <c r="E356" s="1" t="n">
        <v>46274</v>
      </c>
      <c r="F356" t="inlineStr">
        <is>
          <t>BLEKINGE LÄN</t>
        </is>
      </c>
      <c r="G356" t="inlineStr">
        <is>
          <t>RONNEBY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45381</v>
      </c>
      <c r="E357" s="1" t="n">
        <v>46274</v>
      </c>
      <c r="F357" t="inlineStr">
        <is>
          <t>BLEKINGE LÄN</t>
        </is>
      </c>
      <c r="G357" t="inlineStr">
        <is>
          <t>RONNEBY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46274</v>
      </c>
      <c r="F358" t="inlineStr">
        <is>
          <t>BLEKINGE LÄN</t>
        </is>
      </c>
      <c r="G358" t="inlineStr">
        <is>
          <t>RONNEBY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46274</v>
      </c>
      <c r="F359" t="inlineStr">
        <is>
          <t>BLEKINGE LÄN</t>
        </is>
      </c>
      <c r="G359" t="inlineStr">
        <is>
          <t>RONNEBY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46274</v>
      </c>
      <c r="F360" t="inlineStr">
        <is>
          <t>BLEKINGE LÄN</t>
        </is>
      </c>
      <c r="G360" t="inlineStr">
        <is>
          <t>RONNEBY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8452-2024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45354</v>
      </c>
      <c r="E361" s="1" t="n">
        <v>46274</v>
      </c>
      <c r="F361" t="inlineStr">
        <is>
          <t>BLEKINGE LÄN</t>
        </is>
      </c>
      <c r="G361" t="inlineStr">
        <is>
          <t>RONNEBY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46046</v>
      </c>
      <c r="E362" s="1" t="n">
        <v>46274</v>
      </c>
      <c r="F362" t="inlineStr">
        <is>
          <t>BLEKINGE LÄN</t>
        </is>
      </c>
      <c r="G362" t="inlineStr">
        <is>
          <t>RONNEBY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46274</v>
      </c>
      <c r="F363" t="inlineStr">
        <is>
          <t>BLEKINGE LÄN</t>
        </is>
      </c>
      <c r="G363" t="inlineStr">
        <is>
          <t>RONNEBY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45009</v>
      </c>
      <c r="E364" s="1" t="n">
        <v>46274</v>
      </c>
      <c r="F364" t="inlineStr">
        <is>
          <t>BLEKINGE LÄN</t>
        </is>
      </c>
      <c r="G364" t="inlineStr">
        <is>
          <t>RONNEBY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46247</v>
      </c>
      <c r="E365" s="1" t="n">
        <v>46274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46274</v>
      </c>
      <c r="F366" t="inlineStr">
        <is>
          <t>BLEKINGE LÄN</t>
        </is>
      </c>
      <c r="G366" t="inlineStr">
        <is>
          <t>RONNEBY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46274</v>
      </c>
      <c r="F367" t="inlineStr">
        <is>
          <t>BLEKINGE LÄN</t>
        </is>
      </c>
      <c r="G367" t="inlineStr">
        <is>
          <t>RONNEBY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45702</v>
      </c>
      <c r="E368" s="1" t="n">
        <v>46274</v>
      </c>
      <c r="F368" t="inlineStr">
        <is>
          <t>BLEKINGE LÄN</t>
        </is>
      </c>
      <c r="G368" t="inlineStr">
        <is>
          <t>RONNEBY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46274</v>
      </c>
      <c r="F369" t="inlineStr">
        <is>
          <t>BLEKINGE LÄN</t>
        </is>
      </c>
      <c r="G369" t="inlineStr">
        <is>
          <t>RONNEBY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46274</v>
      </c>
      <c r="F370" t="inlineStr">
        <is>
          <t>BLEKINGE LÄN</t>
        </is>
      </c>
      <c r="G370" t="inlineStr">
        <is>
          <t>RONNEBY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46274</v>
      </c>
      <c r="F371" t="inlineStr">
        <is>
          <t>BLEKINGE LÄN</t>
        </is>
      </c>
      <c r="G371" t="inlineStr">
        <is>
          <t>RONNEBY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46274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46274</v>
      </c>
      <c r="F373" t="inlineStr">
        <is>
          <t>BLEKINGE LÄN</t>
        </is>
      </c>
      <c r="G373" t="inlineStr">
        <is>
          <t>RONNEBY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46274</v>
      </c>
      <c r="F374" t="inlineStr">
        <is>
          <t>BLEKINGE LÄN</t>
        </is>
      </c>
      <c r="G374" t="inlineStr">
        <is>
          <t>RONNEBY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46274</v>
      </c>
      <c r="F375" t="inlineStr">
        <is>
          <t>BLEKINGE LÄN</t>
        </is>
      </c>
      <c r="G375" t="inlineStr">
        <is>
          <t>RONNEBY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46252</v>
      </c>
      <c r="E376" s="1" t="n">
        <v>46274</v>
      </c>
      <c r="F376" t="inlineStr">
        <is>
          <t>BLEKINGE LÄN</t>
        </is>
      </c>
      <c r="G376" t="inlineStr">
        <is>
          <t>RONNEBY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45588</v>
      </c>
      <c r="E377" s="1" t="n">
        <v>46274</v>
      </c>
      <c r="F377" t="inlineStr">
        <is>
          <t>BLEKINGE LÄN</t>
        </is>
      </c>
      <c r="G377" t="inlineStr">
        <is>
          <t>RONNEBY</t>
        </is>
      </c>
      <c r="H377" t="inlineStr">
        <is>
          <t>Kommuner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46274</v>
      </c>
      <c r="F378" t="inlineStr">
        <is>
          <t>BLEKINGE LÄN</t>
        </is>
      </c>
      <c r="G378" t="inlineStr">
        <is>
          <t>RONNEBY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46274</v>
      </c>
      <c r="F379" t="inlineStr">
        <is>
          <t>BLEKINGE LÄN</t>
        </is>
      </c>
      <c r="G379" t="inlineStr">
        <is>
          <t>RONNEBY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46274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8747-2026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46274</v>
      </c>
      <c r="F381" t="inlineStr">
        <is>
          <t>BLEKINGE LÄN</t>
        </is>
      </c>
      <c r="G381" t="inlineStr">
        <is>
          <t>RONNEBY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46209</v>
      </c>
      <c r="E382" s="1" t="n">
        <v>46274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63881-2023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46274</v>
      </c>
      <c r="F383" t="inlineStr">
        <is>
          <t>BLEKINGE LÄN</t>
        </is>
      </c>
      <c r="G383" t="inlineStr">
        <is>
          <t>RONNEBY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46274</v>
      </c>
      <c r="F384" t="inlineStr">
        <is>
          <t>BLEKINGE LÄN</t>
        </is>
      </c>
      <c r="G384" t="inlineStr">
        <is>
          <t>RONNEBY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46274</v>
      </c>
      <c r="F385" t="inlineStr">
        <is>
          <t>BLEKINGE LÄN</t>
        </is>
      </c>
      <c r="G385" t="inlineStr">
        <is>
          <t>RONNEBY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46274</v>
      </c>
      <c r="F386" t="inlineStr">
        <is>
          <t>BLEKINGE LÄN</t>
        </is>
      </c>
      <c r="G386" t="inlineStr">
        <is>
          <t>RONNEBY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46274</v>
      </c>
      <c r="F387" t="inlineStr">
        <is>
          <t>BLEKINGE LÄN</t>
        </is>
      </c>
      <c r="G387" t="inlineStr">
        <is>
          <t>RONNEBY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9448-2026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46274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46274</v>
      </c>
      <c r="F389" t="inlineStr">
        <is>
          <t>BLEKINGE LÄN</t>
        </is>
      </c>
      <c r="G389" t="inlineStr">
        <is>
          <t>RONNEBY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45602</v>
      </c>
      <c r="E390" s="1" t="n">
        <v>46274</v>
      </c>
      <c r="F390" t="inlineStr">
        <is>
          <t>BLEKINGE LÄN</t>
        </is>
      </c>
      <c r="G390" t="inlineStr">
        <is>
          <t>RONNEBY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46274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46274</v>
      </c>
      <c r="F392" t="inlineStr">
        <is>
          <t>BLEKINGE LÄN</t>
        </is>
      </c>
      <c r="G392" t="inlineStr">
        <is>
          <t>RONNEBY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46274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46274</v>
      </c>
      <c r="F394" t="inlineStr">
        <is>
          <t>BLEKINGE LÄN</t>
        </is>
      </c>
      <c r="G394" t="inlineStr">
        <is>
          <t>RONNEBY</t>
        </is>
      </c>
      <c r="H394" t="inlineStr">
        <is>
          <t>Kyrkan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46274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46274</v>
      </c>
      <c r="F396" t="inlineStr">
        <is>
          <t>BLEKINGE LÄN</t>
        </is>
      </c>
      <c r="G396" t="inlineStr">
        <is>
          <t>RONNEBY</t>
        </is>
      </c>
      <c r="H396" t="inlineStr">
        <is>
          <t>Kyrkan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46274</v>
      </c>
      <c r="F397" t="inlineStr">
        <is>
          <t>BLEKINGE LÄN</t>
        </is>
      </c>
      <c r="G397" t="inlineStr">
        <is>
          <t>RONNEBY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46078</v>
      </c>
      <c r="E398" s="1" t="n">
        <v>46274</v>
      </c>
      <c r="F398" t="inlineStr">
        <is>
          <t>BLEKINGE LÄN</t>
        </is>
      </c>
      <c r="G398" t="inlineStr">
        <is>
          <t>RONNEBY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46077</v>
      </c>
      <c r="E399" s="1" t="n">
        <v>46274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45480</v>
      </c>
      <c r="E400" s="1" t="n">
        <v>46274</v>
      </c>
      <c r="F400" t="inlineStr">
        <is>
          <t>BLEKINGE LÄN</t>
        </is>
      </c>
      <c r="G400" t="inlineStr">
        <is>
          <t>RONNEBY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46274</v>
      </c>
      <c r="F401" t="inlineStr">
        <is>
          <t>BLEKINGE LÄN</t>
        </is>
      </c>
      <c r="G401" t="inlineStr">
        <is>
          <t>RONNEBY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46274</v>
      </c>
      <c r="F402" t="inlineStr">
        <is>
          <t>BLEKINGE LÄN</t>
        </is>
      </c>
      <c r="G402" t="inlineStr">
        <is>
          <t>RONNEBY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46274</v>
      </c>
      <c r="F403" t="inlineStr">
        <is>
          <t>BLEKINGE LÄN</t>
        </is>
      </c>
      <c r="G403" t="inlineStr">
        <is>
          <t>RONNEBY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46216</v>
      </c>
      <c r="E404" s="1" t="n">
        <v>46274</v>
      </c>
      <c r="F404" t="inlineStr">
        <is>
          <t>BLEKINGE LÄN</t>
        </is>
      </c>
      <c r="G404" t="inlineStr">
        <is>
          <t>RONNEBY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46078</v>
      </c>
      <c r="E405" s="1" t="n">
        <v>46274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46078</v>
      </c>
      <c r="E406" s="1" t="n">
        <v>46274</v>
      </c>
      <c r="F406" t="inlineStr">
        <is>
          <t>BLEKINGE LÄN</t>
        </is>
      </c>
      <c r="G406" t="inlineStr">
        <is>
          <t>RONNEBY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44729</v>
      </c>
      <c r="E407" s="1" t="n">
        <v>46274</v>
      </c>
      <c r="F407" t="inlineStr">
        <is>
          <t>BLEKINGE LÄN</t>
        </is>
      </c>
      <c r="G407" t="inlineStr">
        <is>
          <t>RONNEBY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46274</v>
      </c>
      <c r="F408" t="inlineStr">
        <is>
          <t>BLEKINGE LÄN</t>
        </is>
      </c>
      <c r="G408" t="inlineStr">
        <is>
          <t>RONNEBY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11106-2026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46274</v>
      </c>
      <c r="F409" t="inlineStr">
        <is>
          <t>BLEKINGE LÄN</t>
        </is>
      </c>
      <c r="G409" t="inlineStr">
        <is>
          <t>RONNEBY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11112-2026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46274</v>
      </c>
      <c r="F410" t="inlineStr">
        <is>
          <t>BLEKINGE LÄN</t>
        </is>
      </c>
      <c r="G410" t="inlineStr">
        <is>
          <t>RONNEBY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11104-2026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46079</v>
      </c>
      <c r="E411" s="1" t="n">
        <v>46274</v>
      </c>
      <c r="F411" t="inlineStr">
        <is>
          <t>BLEKINGE LÄN</t>
        </is>
      </c>
      <c r="G411" t="inlineStr">
        <is>
          <t>RONNEBY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12077-2026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46086</v>
      </c>
      <c r="E412" s="1" t="n">
        <v>46274</v>
      </c>
      <c r="F412" t="inlineStr">
        <is>
          <t>BLEKINGE LÄN</t>
        </is>
      </c>
      <c r="G412" t="inlineStr">
        <is>
          <t>RONNEBY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46274</v>
      </c>
      <c r="F413" t="inlineStr">
        <is>
          <t>BLEKINGE LÄN</t>
        </is>
      </c>
      <c r="G413" t="inlineStr">
        <is>
          <t>RONNEBY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45619</v>
      </c>
      <c r="E414" s="1" t="n">
        <v>46274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46274</v>
      </c>
      <c r="F415" t="inlineStr">
        <is>
          <t>BLEKINGE LÄN</t>
        </is>
      </c>
      <c r="G415" t="inlineStr">
        <is>
          <t>RONNEBY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46218</v>
      </c>
      <c r="E416" s="1" t="n">
        <v>46274</v>
      </c>
      <c r="F416" t="inlineStr">
        <is>
          <t>BLEKINGE LÄN</t>
        </is>
      </c>
      <c r="G416" t="inlineStr">
        <is>
          <t>RONNEBY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9227-2025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45714</v>
      </c>
      <c r="E417" s="1" t="n">
        <v>46274</v>
      </c>
      <c r="F417" t="inlineStr">
        <is>
          <t>BLEKINGE LÄN</t>
        </is>
      </c>
      <c r="G417" t="inlineStr">
        <is>
          <t>RONNEBY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46274</v>
      </c>
      <c r="F418" t="inlineStr">
        <is>
          <t>BLEKINGE LÄN</t>
        </is>
      </c>
      <c r="G418" t="inlineStr">
        <is>
          <t>RONNEBY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46274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46261</v>
      </c>
      <c r="E420" s="1" t="n">
        <v>46274</v>
      </c>
      <c r="F420" t="inlineStr">
        <is>
          <t>BLEKINGE LÄN</t>
        </is>
      </c>
      <c r="G420" t="inlineStr">
        <is>
          <t>RONNEBY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46274</v>
      </c>
      <c r="F421" t="inlineStr">
        <is>
          <t>BLEKINGE LÄN</t>
        </is>
      </c>
      <c r="G421" t="inlineStr">
        <is>
          <t>RONNEBY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46274</v>
      </c>
      <c r="F422" t="inlineStr">
        <is>
          <t>BLEKINGE LÄN</t>
        </is>
      </c>
      <c r="G422" t="inlineStr">
        <is>
          <t>RONNEBY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46274</v>
      </c>
      <c r="F423" t="inlineStr">
        <is>
          <t>BLEKINGE LÄN</t>
        </is>
      </c>
      <c r="G423" t="inlineStr">
        <is>
          <t>RONNEBY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46274</v>
      </c>
      <c r="F424" t="inlineStr">
        <is>
          <t>BLEKINGE LÄN</t>
        </is>
      </c>
      <c r="G424" t="inlineStr">
        <is>
          <t>RONNEBY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46274</v>
      </c>
      <c r="F425" t="inlineStr">
        <is>
          <t>BLEKINGE LÄN</t>
        </is>
      </c>
      <c r="G425" t="inlineStr">
        <is>
          <t>RONNEBY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46274</v>
      </c>
      <c r="F426" t="inlineStr">
        <is>
          <t>BLEKINGE LÄN</t>
        </is>
      </c>
      <c r="G426" t="inlineStr">
        <is>
          <t>RONNEBY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46274</v>
      </c>
      <c r="F427" t="inlineStr">
        <is>
          <t>BLEKINGE LÄN</t>
        </is>
      </c>
      <c r="G427" t="inlineStr">
        <is>
          <t>RONNEBY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46274</v>
      </c>
      <c r="F428" t="inlineStr">
        <is>
          <t>BLEKINGE LÄN</t>
        </is>
      </c>
      <c r="G428" t="inlineStr">
        <is>
          <t>RONNEBY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46274</v>
      </c>
      <c r="F429" t="inlineStr">
        <is>
          <t>BLEKINGE LÄN</t>
        </is>
      </c>
      <c r="G429" t="inlineStr">
        <is>
          <t>RONNEBY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46274</v>
      </c>
      <c r="F430" t="inlineStr">
        <is>
          <t>BLEKINGE LÄN</t>
        </is>
      </c>
      <c r="G430" t="inlineStr">
        <is>
          <t>RONNEBY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15206-2026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46274</v>
      </c>
      <c r="F431" t="inlineStr">
        <is>
          <t>BLEKINGE LÄN</t>
        </is>
      </c>
      <c r="G431" t="inlineStr">
        <is>
          <t>RONNEBY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46274</v>
      </c>
      <c r="F432" t="inlineStr">
        <is>
          <t>BLEKINGE LÄN</t>
        </is>
      </c>
      <c r="G432" t="inlineStr">
        <is>
          <t>RONNEBY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44778</v>
      </c>
      <c r="E433" s="1" t="n">
        <v>46274</v>
      </c>
      <c r="F433" t="inlineStr">
        <is>
          <t>BLEKINGE LÄN</t>
        </is>
      </c>
      <c r="G433" t="inlineStr">
        <is>
          <t>RONNEBY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59840-2021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46274</v>
      </c>
      <c r="F434" t="inlineStr">
        <is>
          <t>BLEKINGE LÄN</t>
        </is>
      </c>
      <c r="G434" t="inlineStr">
        <is>
          <t>RONNEBY</t>
        </is>
      </c>
      <c r="I434" t="n">
        <v>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46274</v>
      </c>
      <c r="F435" t="inlineStr">
        <is>
          <t>BLEKINGE LÄN</t>
        </is>
      </c>
      <c r="G435" t="inlineStr">
        <is>
          <t>RONNEBY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46226</v>
      </c>
      <c r="E436" s="1" t="n">
        <v>46274</v>
      </c>
      <c r="F436" t="inlineStr">
        <is>
          <t>BLEKINGE LÄN</t>
        </is>
      </c>
      <c r="G436" t="inlineStr">
        <is>
          <t>RONNEBY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44973</v>
      </c>
      <c r="E437" s="1" t="n">
        <v>46274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46274</v>
      </c>
      <c r="F438" t="inlineStr">
        <is>
          <t>BLEKINGE LÄN</t>
        </is>
      </c>
      <c r="G438" t="inlineStr">
        <is>
          <t>RONNEBY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44966</v>
      </c>
      <c r="E439" s="1" t="n">
        <v>46274</v>
      </c>
      <c r="F439" t="inlineStr">
        <is>
          <t>BLEKINGE LÄN</t>
        </is>
      </c>
      <c r="G439" t="inlineStr">
        <is>
          <t>RONNEBY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46274</v>
      </c>
      <c r="F440" t="inlineStr">
        <is>
          <t>BLEKINGE LÄN</t>
        </is>
      </c>
      <c r="G440" t="inlineStr">
        <is>
          <t>RONNEBY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58618-2021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44489</v>
      </c>
      <c r="E441" s="1" t="n">
        <v>46274</v>
      </c>
      <c r="F441" t="inlineStr">
        <is>
          <t>BLEKINGE LÄN</t>
        </is>
      </c>
      <c r="G441" t="inlineStr">
        <is>
          <t>RONNEBY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46274</v>
      </c>
      <c r="F442" t="inlineStr">
        <is>
          <t>BLEKINGE LÄN</t>
        </is>
      </c>
      <c r="G442" t="inlineStr">
        <is>
          <t>RONNEBY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46274</v>
      </c>
      <c r="F443" t="inlineStr">
        <is>
          <t>BLEKINGE LÄN</t>
        </is>
      </c>
      <c r="G443" t="inlineStr">
        <is>
          <t>RONNEBY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44762</v>
      </c>
      <c r="E444" s="1" t="n">
        <v>46274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9.1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46274</v>
      </c>
      <c r="F445" t="inlineStr">
        <is>
          <t>BLEKINGE LÄN</t>
        </is>
      </c>
      <c r="G445" t="inlineStr">
        <is>
          <t>RONNEBY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46274</v>
      </c>
      <c r="F446" t="inlineStr">
        <is>
          <t>BLEKINGE LÄN</t>
        </is>
      </c>
      <c r="G446" t="inlineStr">
        <is>
          <t>RONNEBY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46274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46274</v>
      </c>
      <c r="F448" t="inlineStr">
        <is>
          <t>BLEKINGE LÄN</t>
        </is>
      </c>
      <c r="G448" t="inlineStr">
        <is>
          <t>RONNEBY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29430-2022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44753</v>
      </c>
      <c r="E449" s="1" t="n">
        <v>46274</v>
      </c>
      <c r="F449" t="inlineStr">
        <is>
          <t>BLEKINGE LÄN</t>
        </is>
      </c>
      <c r="G449" t="inlineStr">
        <is>
          <t>RONNEBY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46229</v>
      </c>
      <c r="E450" s="1" t="n">
        <v>46274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46274</v>
      </c>
      <c r="F451" t="inlineStr">
        <is>
          <t>BLEKINGE LÄN</t>
        </is>
      </c>
      <c r="G451" t="inlineStr">
        <is>
          <t>RONNEBY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46265</v>
      </c>
      <c r="E452" s="1" t="n">
        <v>46274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50792-2022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46274</v>
      </c>
      <c r="F453" t="inlineStr">
        <is>
          <t>BLEKINGE LÄN</t>
        </is>
      </c>
      <c r="G453" t="inlineStr">
        <is>
          <t>RONNEBY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45470</v>
      </c>
      <c r="E454" s="1" t="n">
        <v>46274</v>
      </c>
      <c r="F454" t="inlineStr">
        <is>
          <t>BLEKINGE LÄN</t>
        </is>
      </c>
      <c r="G454" t="inlineStr">
        <is>
          <t>RONNEBY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46274</v>
      </c>
      <c r="F455" t="inlineStr">
        <is>
          <t>BLEKINGE LÄN</t>
        </is>
      </c>
      <c r="G455" t="inlineStr">
        <is>
          <t>RONNEBY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45310</v>
      </c>
      <c r="E456" s="1" t="n">
        <v>46274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46274</v>
      </c>
      <c r="F457" t="inlineStr">
        <is>
          <t>BLEKINGE LÄN</t>
        </is>
      </c>
      <c r="G457" t="inlineStr">
        <is>
          <t>RONNEBY</t>
        </is>
      </c>
      <c r="I457" t="n">
        <v>11.5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45757</v>
      </c>
      <c r="E458" s="1" t="n">
        <v>46274</v>
      </c>
      <c r="F458" t="inlineStr">
        <is>
          <t>BLEKINGE LÄN</t>
        </is>
      </c>
      <c r="G458" t="inlineStr">
        <is>
          <t>RONNEBY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41875-2022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44829</v>
      </c>
      <c r="E459" s="1" t="n">
        <v>46274</v>
      </c>
      <c r="F459" t="inlineStr">
        <is>
          <t>BLEKINGE LÄN</t>
        </is>
      </c>
      <c r="G459" t="inlineStr">
        <is>
          <t>RONNEBY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46274</v>
      </c>
      <c r="F460" t="inlineStr">
        <is>
          <t>BLEKINGE LÄN</t>
        </is>
      </c>
      <c r="G460" t="inlineStr">
        <is>
          <t>RONNEBY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44956</v>
      </c>
      <c r="E461" s="1" t="n">
        <v>46274</v>
      </c>
      <c r="F461" t="inlineStr">
        <is>
          <t>BLEKINGE LÄN</t>
        </is>
      </c>
      <c r="G461" t="inlineStr">
        <is>
          <t>RONNEBY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46274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54532-2022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44882</v>
      </c>
      <c r="E463" s="1" t="n">
        <v>46274</v>
      </c>
      <c r="F463" t="inlineStr">
        <is>
          <t>BLEKINGE LÄN</t>
        </is>
      </c>
      <c r="G463" t="inlineStr">
        <is>
          <t>RONNEBY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36202-2024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45534</v>
      </c>
      <c r="E464" s="1" t="n">
        <v>46274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44893</v>
      </c>
      <c r="E465" s="1" t="n">
        <v>46274</v>
      </c>
      <c r="F465" t="inlineStr">
        <is>
          <t>BLEKINGE LÄN</t>
        </is>
      </c>
      <c r="G465" t="inlineStr">
        <is>
          <t>RONNEBY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52637-2024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45610</v>
      </c>
      <c r="E466" s="1" t="n">
        <v>46274</v>
      </c>
      <c r="F466" t="inlineStr">
        <is>
          <t>BLEKINGE LÄN</t>
        </is>
      </c>
      <c r="G466" t="inlineStr">
        <is>
          <t>RONNEBY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7716-2023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44972</v>
      </c>
      <c r="E467" s="1" t="n">
        <v>46274</v>
      </c>
      <c r="F467" t="inlineStr">
        <is>
          <t>BLEKINGE LÄN</t>
        </is>
      </c>
      <c r="G467" t="inlineStr">
        <is>
          <t>RONNEBY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54536-2022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44882</v>
      </c>
      <c r="E468" s="1" t="n">
        <v>46274</v>
      </c>
      <c r="F468" t="inlineStr">
        <is>
          <t>BLEKINGE LÄN</t>
        </is>
      </c>
      <c r="G468" t="inlineStr">
        <is>
          <t>RONNEBY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45009</v>
      </c>
      <c r="E469" s="1" t="n">
        <v>46274</v>
      </c>
      <c r="F469" t="inlineStr">
        <is>
          <t>BLEKINGE LÄN</t>
        </is>
      </c>
      <c r="G469" t="inlineStr">
        <is>
          <t>RONNEBY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21206-2023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46274</v>
      </c>
      <c r="F470" t="inlineStr">
        <is>
          <t>BLEKINGE LÄN</t>
        </is>
      </c>
      <c r="G470" t="inlineStr">
        <is>
          <t>RONNEBY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46274</v>
      </c>
      <c r="F471" t="inlineStr">
        <is>
          <t>BLEKINGE LÄN</t>
        </is>
      </c>
      <c r="G471" t="inlineStr">
        <is>
          <t>RONNEBY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46274</v>
      </c>
      <c r="F472" t="inlineStr">
        <is>
          <t>BLEKINGE LÄN</t>
        </is>
      </c>
      <c r="G472" t="inlineStr">
        <is>
          <t>RONNEBY</t>
        </is>
      </c>
      <c r="I472" t="n">
        <v>15.2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22507-2022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44713</v>
      </c>
      <c r="E473" s="1" t="n">
        <v>46274</v>
      </c>
      <c r="F473" t="inlineStr">
        <is>
          <t>BLEKINGE LÄN</t>
        </is>
      </c>
      <c r="G473" t="inlineStr">
        <is>
          <t>RONNEBY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45426</v>
      </c>
      <c r="E474" s="1" t="n">
        <v>46274</v>
      </c>
      <c r="F474" t="inlineStr">
        <is>
          <t>BLEKINGE LÄN</t>
        </is>
      </c>
      <c r="G474" t="inlineStr">
        <is>
          <t>RONNEBY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45588</v>
      </c>
      <c r="E475" s="1" t="n">
        <v>46274</v>
      </c>
      <c r="F475" t="inlineStr">
        <is>
          <t>BLEKINGE LÄN</t>
        </is>
      </c>
      <c r="G475" t="inlineStr">
        <is>
          <t>RONNEBY</t>
        </is>
      </c>
      <c r="H475" t="inlineStr">
        <is>
          <t>Kommuner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46274</v>
      </c>
      <c r="F476" t="inlineStr">
        <is>
          <t>BLEKINGE LÄN</t>
        </is>
      </c>
      <c r="G476" t="inlineStr">
        <is>
          <t>RONNEBY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39032-2022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44817</v>
      </c>
      <c r="E477" s="1" t="n">
        <v>46274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41034-2024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45559</v>
      </c>
      <c r="E478" s="1" t="n">
        <v>46274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46274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45328</v>
      </c>
      <c r="E480" s="1" t="n">
        <v>46274</v>
      </c>
      <c r="F480" t="inlineStr">
        <is>
          <t>BLEKINGE LÄN</t>
        </is>
      </c>
      <c r="G480" t="inlineStr">
        <is>
          <t>RONNEBY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9571-2024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45360</v>
      </c>
      <c r="E481" s="1" t="n">
        <v>46274</v>
      </c>
      <c r="F481" t="inlineStr">
        <is>
          <t>BLEKINGE LÄN</t>
        </is>
      </c>
      <c r="G481" t="inlineStr">
        <is>
          <t>RONNEBY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45360</v>
      </c>
      <c r="E482" s="1" t="n">
        <v>46274</v>
      </c>
      <c r="F482" t="inlineStr">
        <is>
          <t>BLEKINGE LÄN</t>
        </is>
      </c>
      <c r="G482" t="inlineStr">
        <is>
          <t>RONNEBY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45104</v>
      </c>
      <c r="E483" s="1" t="n">
        <v>46274</v>
      </c>
      <c r="F483" t="inlineStr">
        <is>
          <t>BLEKINGE LÄN</t>
        </is>
      </c>
      <c r="G483" t="inlineStr">
        <is>
          <t>RONNEBY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20586-2025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45775</v>
      </c>
      <c r="E484" s="1" t="n">
        <v>46274</v>
      </c>
      <c r="F484" t="inlineStr">
        <is>
          <t>BLEKINGE LÄN</t>
        </is>
      </c>
      <c r="G484" t="inlineStr">
        <is>
          <t>RONNEBY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45105</v>
      </c>
      <c r="E485" s="1" t="n">
        <v>46274</v>
      </c>
      <c r="F485" t="inlineStr">
        <is>
          <t>BLEKINGE LÄN</t>
        </is>
      </c>
      <c r="G485" t="inlineStr">
        <is>
          <t>RONNEBY</t>
        </is>
      </c>
      <c r="H485" t="inlineStr">
        <is>
          <t>Kommuner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46274</v>
      </c>
      <c r="F486" t="inlineStr">
        <is>
          <t>BLEKINGE LÄN</t>
        </is>
      </c>
      <c r="G486" t="inlineStr">
        <is>
          <t>RONNEBY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44945</v>
      </c>
      <c r="E487" s="1" t="n">
        <v>46274</v>
      </c>
      <c r="F487" t="inlineStr">
        <is>
          <t>BLEKINGE LÄN</t>
        </is>
      </c>
      <c r="G487" t="inlineStr">
        <is>
          <t>RONNEBY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44606</v>
      </c>
      <c r="E488" s="1" t="n">
        <v>46274</v>
      </c>
      <c r="F488" t="inlineStr">
        <is>
          <t>BLEKINGE LÄN</t>
        </is>
      </c>
      <c r="G488" t="inlineStr">
        <is>
          <t>RONNEBY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42169-2023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45178</v>
      </c>
      <c r="E489" s="1" t="n">
        <v>46274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45068</v>
      </c>
      <c r="E490" s="1" t="n">
        <v>46274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45536</v>
      </c>
      <c r="E491" s="1" t="n">
        <v>46274</v>
      </c>
      <c r="F491" t="inlineStr">
        <is>
          <t>BLEKINGE LÄN</t>
        </is>
      </c>
      <c r="G491" t="inlineStr">
        <is>
          <t>RONNEBY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22814-2023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45072</v>
      </c>
      <c r="E492" s="1" t="n">
        <v>46274</v>
      </c>
      <c r="F492" t="inlineStr">
        <is>
          <t>BLEKINGE LÄN</t>
        </is>
      </c>
      <c r="G492" t="inlineStr">
        <is>
          <t>RONNEBY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45196</v>
      </c>
      <c r="E493" s="1" t="n">
        <v>46274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45195</v>
      </c>
      <c r="E494" s="1" t="n">
        <v>46274</v>
      </c>
      <c r="F494" t="inlineStr">
        <is>
          <t>BLEKINGE LÄN</t>
        </is>
      </c>
      <c r="G494" t="inlineStr">
        <is>
          <t>RONNEBY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45082</v>
      </c>
      <c r="E495" s="1" t="n">
        <v>46274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45193</v>
      </c>
      <c r="E496" s="1" t="n">
        <v>46274</v>
      </c>
      <c r="F496" t="inlineStr">
        <is>
          <t>BLEKINGE LÄN</t>
        </is>
      </c>
      <c r="G496" t="inlineStr">
        <is>
          <t>RONNEBY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46274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24840-2023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45085</v>
      </c>
      <c r="E498" s="1" t="n">
        <v>46274</v>
      </c>
      <c r="F498" t="inlineStr">
        <is>
          <t>BLEKINGE LÄN</t>
        </is>
      </c>
      <c r="G498" t="inlineStr">
        <is>
          <t>RONNEBY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26231-2023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46274</v>
      </c>
      <c r="F499" t="inlineStr">
        <is>
          <t>BLEKINGE LÄN</t>
        </is>
      </c>
      <c r="G499" t="inlineStr">
        <is>
          <t>RONNEBY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46274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36368-2023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45152</v>
      </c>
      <c r="E501" s="1" t="n">
        <v>46274</v>
      </c>
      <c r="F501" t="inlineStr">
        <is>
          <t>BLEKINGE LÄN</t>
        </is>
      </c>
      <c r="G501" t="inlineStr">
        <is>
          <t>RONNEBY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45139</v>
      </c>
      <c r="E502" s="1" t="n">
        <v>46274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41217-2023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45169</v>
      </c>
      <c r="E503" s="1" t="n">
        <v>46274</v>
      </c>
      <c r="F503" t="inlineStr">
        <is>
          <t>BLEKINGE LÄN</t>
        </is>
      </c>
      <c r="G503" t="inlineStr">
        <is>
          <t>RONNEBY</t>
        </is>
      </c>
      <c r="I503" t="n">
        <v>9.9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45118</v>
      </c>
      <c r="E504" s="1" t="n">
        <v>46274</v>
      </c>
      <c r="F504" t="inlineStr">
        <is>
          <t>BLEKINGE LÄN</t>
        </is>
      </c>
      <c r="G504" t="inlineStr">
        <is>
          <t>RONNEBY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45178</v>
      </c>
      <c r="E505" s="1" t="n">
        <v>46274</v>
      </c>
      <c r="F505" t="inlineStr">
        <is>
          <t>BLEKINGE LÄN</t>
        </is>
      </c>
      <c r="G505" t="inlineStr">
        <is>
          <t>RONNEBY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45062</v>
      </c>
      <c r="E506" s="1" t="n">
        <v>46274</v>
      </c>
      <c r="F506" t="inlineStr">
        <is>
          <t>BLEKINGE LÄN</t>
        </is>
      </c>
      <c r="G506" t="inlineStr">
        <is>
          <t>RONNEBY</t>
        </is>
      </c>
      <c r="H506" t="inlineStr">
        <is>
          <t>Kommuner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46274</v>
      </c>
      <c r="F507" t="inlineStr">
        <is>
          <t>BLEKINGE LÄN</t>
        </is>
      </c>
      <c r="G507" t="inlineStr">
        <is>
          <t>RONNEBY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46274</v>
      </c>
      <c r="F508" t="inlineStr">
        <is>
          <t>BLEKINGE LÄN</t>
        </is>
      </c>
      <c r="G508" t="inlineStr">
        <is>
          <t>RONNEBY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16077-2023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45027</v>
      </c>
      <c r="E509" s="1" t="n">
        <v>46274</v>
      </c>
      <c r="F509" t="inlineStr">
        <is>
          <t>BLEKINGE LÄN</t>
        </is>
      </c>
      <c r="G509" t="inlineStr">
        <is>
          <t>RONNEBY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50921-2024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46274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12414-2024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45378</v>
      </c>
      <c r="E511" s="1" t="n">
        <v>46274</v>
      </c>
      <c r="F511" t="inlineStr">
        <is>
          <t>BLEKINGE LÄN</t>
        </is>
      </c>
      <c r="G511" t="inlineStr">
        <is>
          <t>RONNEBY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46274</v>
      </c>
      <c r="F512" t="inlineStr">
        <is>
          <t>BLEKINGE LÄN</t>
        </is>
      </c>
      <c r="G512" t="inlineStr">
        <is>
          <t>RONNEBY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46274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46274</v>
      </c>
      <c r="F514" t="inlineStr">
        <is>
          <t>BLEKINGE LÄN</t>
        </is>
      </c>
      <c r="G514" t="inlineStr">
        <is>
          <t>RONNEBY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46274</v>
      </c>
      <c r="F515" t="inlineStr">
        <is>
          <t>BLEKINGE LÄN</t>
        </is>
      </c>
      <c r="G515" t="inlineStr">
        <is>
          <t>RONNEBY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45303</v>
      </c>
      <c r="E516" s="1" t="n">
        <v>46274</v>
      </c>
      <c r="F516" t="inlineStr">
        <is>
          <t>BLEKINGE LÄN</t>
        </is>
      </c>
      <c r="G516" t="inlineStr">
        <is>
          <t>RONNEBY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44974</v>
      </c>
      <c r="E517" s="1" t="n">
        <v>46274</v>
      </c>
      <c r="F517" t="inlineStr">
        <is>
          <t>BLEKINGE LÄN</t>
        </is>
      </c>
      <c r="G517" t="inlineStr">
        <is>
          <t>RONNEBY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36946-2022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44806</v>
      </c>
      <c r="E518" s="1" t="n">
        <v>46274</v>
      </c>
      <c r="F518" t="inlineStr">
        <is>
          <t>BLEKINGE LÄN</t>
        </is>
      </c>
      <c r="G518" t="inlineStr">
        <is>
          <t>RONNEBY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44992</v>
      </c>
      <c r="E519" s="1" t="n">
        <v>46274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57426-2023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45246</v>
      </c>
      <c r="E520" s="1" t="n">
        <v>46274</v>
      </c>
      <c r="F520" t="inlineStr">
        <is>
          <t>BLEKINGE LÄN</t>
        </is>
      </c>
      <c r="G520" t="inlineStr">
        <is>
          <t>RONNEBY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44565</v>
      </c>
      <c r="E521" s="1" t="n">
        <v>46274</v>
      </c>
      <c r="F521" t="inlineStr">
        <is>
          <t>BLEKINGE LÄN</t>
        </is>
      </c>
      <c r="G521" t="inlineStr">
        <is>
          <t>RONNEBY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55079-2023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45237</v>
      </c>
      <c r="E522" s="1" t="n">
        <v>46274</v>
      </c>
      <c r="F522" t="inlineStr">
        <is>
          <t>BLEKINGE LÄN</t>
        </is>
      </c>
      <c r="G522" t="inlineStr">
        <is>
          <t>RONNEBY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31415-2022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46274</v>
      </c>
      <c r="F523" t="inlineStr">
        <is>
          <t>BLEKINGE LÄN</t>
        </is>
      </c>
      <c r="G523" t="inlineStr">
        <is>
          <t>RONNEBY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45545</v>
      </c>
      <c r="E524" s="1" t="n">
        <v>46274</v>
      </c>
      <c r="F524" t="inlineStr">
        <is>
          <t>BLEKINGE LÄN</t>
        </is>
      </c>
      <c r="G524" t="inlineStr">
        <is>
          <t>RONNEBY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45303</v>
      </c>
      <c r="E525" s="1" t="n">
        <v>46274</v>
      </c>
      <c r="F525" t="inlineStr">
        <is>
          <t>BLEKINGE LÄN</t>
        </is>
      </c>
      <c r="G525" t="inlineStr">
        <is>
          <t>RONNEBY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45430</v>
      </c>
      <c r="E526" s="1" t="n">
        <v>46274</v>
      </c>
      <c r="F526" t="inlineStr">
        <is>
          <t>BLEKINGE LÄN</t>
        </is>
      </c>
      <c r="G526" t="inlineStr">
        <is>
          <t>RONNEBY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44956</v>
      </c>
      <c r="E527" s="1" t="n">
        <v>46274</v>
      </c>
      <c r="F527" t="inlineStr">
        <is>
          <t>BLEKINGE LÄN</t>
        </is>
      </c>
      <c r="G527" t="inlineStr">
        <is>
          <t>RONNEBY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46274</v>
      </c>
      <c r="F528" t="inlineStr">
        <is>
          <t>BLEKINGE LÄN</t>
        </is>
      </c>
      <c r="G528" t="inlineStr">
        <is>
          <t>RONNEBY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46274</v>
      </c>
      <c r="F529" t="inlineStr">
        <is>
          <t>BLEKINGE LÄN</t>
        </is>
      </c>
      <c r="G529" t="inlineStr">
        <is>
          <t>RONNEBY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45428</v>
      </c>
      <c r="E530" s="1" t="n">
        <v>46274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45373</v>
      </c>
      <c r="E531" s="1" t="n">
        <v>46274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11165-2025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45724</v>
      </c>
      <c r="E532" s="1" t="n">
        <v>46274</v>
      </c>
      <c r="F532" t="inlineStr">
        <is>
          <t>BLEKINGE LÄN</t>
        </is>
      </c>
      <c r="G532" t="inlineStr">
        <is>
          <t>RONNEBY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44651</v>
      </c>
      <c r="E533" s="1" t="n">
        <v>46274</v>
      </c>
      <c r="F533" t="inlineStr">
        <is>
          <t>BLEKINGE LÄN</t>
        </is>
      </c>
      <c r="G533" t="inlineStr">
        <is>
          <t>RONNEBY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46274</v>
      </c>
      <c r="F534" t="inlineStr">
        <is>
          <t>BLEKINGE LÄN</t>
        </is>
      </c>
      <c r="G534" t="inlineStr">
        <is>
          <t>RONNEBY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16684-2024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45408</v>
      </c>
      <c r="E535" s="1" t="n">
        <v>46274</v>
      </c>
      <c r="F535" t="inlineStr">
        <is>
          <t>BLEKINGE LÄN</t>
        </is>
      </c>
      <c r="G535" t="inlineStr">
        <is>
          <t>RONNEBY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46274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44530-2023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45189</v>
      </c>
      <c r="E537" s="1" t="n">
        <v>46274</v>
      </c>
      <c r="F537" t="inlineStr">
        <is>
          <t>BLEKINGE LÄN</t>
        </is>
      </c>
      <c r="G537" t="inlineStr">
        <is>
          <t>RONNEBY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45051</v>
      </c>
      <c r="E538" s="1" t="n">
        <v>46274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45006</v>
      </c>
      <c r="E539" s="1" t="n">
        <v>46274</v>
      </c>
      <c r="F539" t="inlineStr">
        <is>
          <t>BLEKINGE LÄN</t>
        </is>
      </c>
      <c r="G539" t="inlineStr">
        <is>
          <t>RONNEBY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45139</v>
      </c>
      <c r="E540" s="1" t="n">
        <v>46274</v>
      </c>
      <c r="F540" t="inlineStr">
        <is>
          <t>BLEKINGE LÄN</t>
        </is>
      </c>
      <c r="G540" t="inlineStr">
        <is>
          <t>RONNEBY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45076</v>
      </c>
      <c r="E541" s="1" t="n">
        <v>46274</v>
      </c>
      <c r="F541" t="inlineStr">
        <is>
          <t>BLEKINGE LÄN</t>
        </is>
      </c>
      <c r="G541" t="inlineStr">
        <is>
          <t>RONNEBY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39925-2022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44819</v>
      </c>
      <c r="E542" s="1" t="n">
        <v>46274</v>
      </c>
      <c r="F542" t="inlineStr">
        <is>
          <t>BLEKINGE LÄN</t>
        </is>
      </c>
      <c r="G542" t="inlineStr">
        <is>
          <t>RONNEBY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15196-2022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44658</v>
      </c>
      <c r="E543" s="1" t="n">
        <v>46274</v>
      </c>
      <c r="F543" t="inlineStr">
        <is>
          <t>BLEKINGE LÄN</t>
        </is>
      </c>
      <c r="G543" t="inlineStr">
        <is>
          <t>RONNEBY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46274</v>
      </c>
      <c r="F544" t="inlineStr">
        <is>
          <t>BLEKINGE LÄN</t>
        </is>
      </c>
      <c r="G544" t="inlineStr">
        <is>
          <t>RONNEBY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38090-2024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45545</v>
      </c>
      <c r="E545" s="1" t="n">
        <v>46274</v>
      </c>
      <c r="F545" t="inlineStr">
        <is>
          <t>BLEKINGE LÄN</t>
        </is>
      </c>
      <c r="G545" t="inlineStr">
        <is>
          <t>RONNEBY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46274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46883-2023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45201</v>
      </c>
      <c r="E547" s="1" t="n">
        <v>46274</v>
      </c>
      <c r="F547" t="inlineStr">
        <is>
          <t>BLEKINGE LÄN</t>
        </is>
      </c>
      <c r="G547" t="inlineStr">
        <is>
          <t>RONNEBY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44992</v>
      </c>
      <c r="E548" s="1" t="n">
        <v>46274</v>
      </c>
      <c r="F548" t="inlineStr">
        <is>
          <t>BLEKINGE LÄN</t>
        </is>
      </c>
      <c r="G548" t="inlineStr">
        <is>
          <t>RONNEBY</t>
        </is>
      </c>
      <c r="H548" t="inlineStr">
        <is>
          <t>Övriga Aktiebolag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45063</v>
      </c>
      <c r="E549" s="1" t="n">
        <v>46274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44748</v>
      </c>
      <c r="E550" s="1" t="n">
        <v>46274</v>
      </c>
      <c r="F550" t="inlineStr">
        <is>
          <t>BLEKINGE LÄN</t>
        </is>
      </c>
      <c r="G550" t="inlineStr">
        <is>
          <t>RONNEBY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45078</v>
      </c>
      <c r="E551" s="1" t="n">
        <v>46274</v>
      </c>
      <c r="F551" t="inlineStr">
        <is>
          <t>BLEKINGE LÄN</t>
        </is>
      </c>
      <c r="G551" t="inlineStr">
        <is>
          <t>RONNEBY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46274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46274</v>
      </c>
      <c r="F553" t="inlineStr">
        <is>
          <t>BLEKINGE LÄN</t>
        </is>
      </c>
      <c r="G553" t="inlineStr">
        <is>
          <t>RONNEBY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53366-2021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44466</v>
      </c>
      <c r="E554" s="1" t="n">
        <v>46274</v>
      </c>
      <c r="F554" t="inlineStr">
        <is>
          <t>BLEKINGE LÄN</t>
        </is>
      </c>
      <c r="G554" t="inlineStr">
        <is>
          <t>RONNEBY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9302-2023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44980</v>
      </c>
      <c r="E555" s="1" t="n">
        <v>46274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44950</v>
      </c>
      <c r="E556" s="1" t="n">
        <v>46274</v>
      </c>
      <c r="F556" t="inlineStr">
        <is>
          <t>BLEKINGE LÄN</t>
        </is>
      </c>
      <c r="G556" t="inlineStr">
        <is>
          <t>RONNEBY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10920-2025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45722</v>
      </c>
      <c r="E557" s="1" t="n">
        <v>46274</v>
      </c>
      <c r="F557" t="inlineStr">
        <is>
          <t>BLEKINGE LÄN</t>
        </is>
      </c>
      <c r="G557" t="inlineStr">
        <is>
          <t>RONNEBY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45058</v>
      </c>
      <c r="E558" s="1" t="n">
        <v>46274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46274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45407-2023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45194</v>
      </c>
      <c r="E560" s="1" t="n">
        <v>46274</v>
      </c>
      <c r="F560" t="inlineStr">
        <is>
          <t>BLEKINGE LÄN</t>
        </is>
      </c>
      <c r="G560" t="inlineStr">
        <is>
          <t>RONNEBY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20580-2023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45057</v>
      </c>
      <c r="E561" s="1" t="n">
        <v>46274</v>
      </c>
      <c r="F561" t="inlineStr">
        <is>
          <t>BLEKINGE LÄN</t>
        </is>
      </c>
      <c r="G561" t="inlineStr">
        <is>
          <t>RONNEBY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46274</v>
      </c>
      <c r="F562" t="inlineStr">
        <is>
          <t>BLEKINGE LÄN</t>
        </is>
      </c>
      <c r="G562" t="inlineStr">
        <is>
          <t>RONNEBY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45012</v>
      </c>
      <c r="E563" s="1" t="n">
        <v>46274</v>
      </c>
      <c r="F563" t="inlineStr">
        <is>
          <t>BLEKINGE LÄN</t>
        </is>
      </c>
      <c r="G563" t="inlineStr">
        <is>
          <t>RONNEBY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58552-2022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44902</v>
      </c>
      <c r="E564" s="1" t="n">
        <v>46274</v>
      </c>
      <c r="F564" t="inlineStr">
        <is>
          <t>BLEKINGE LÄN</t>
        </is>
      </c>
      <c r="G564" t="inlineStr">
        <is>
          <t>RONNEBY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55350-2023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46274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38341-2024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45545</v>
      </c>
      <c r="E566" s="1" t="n">
        <v>46274</v>
      </c>
      <c r="F566" t="inlineStr">
        <is>
          <t>BLEKINGE LÄN</t>
        </is>
      </c>
      <c r="G566" t="inlineStr">
        <is>
          <t>RONNEBY</t>
        </is>
      </c>
      <c r="H566" t="inlineStr">
        <is>
          <t>Övriga Aktiebolag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45229</v>
      </c>
      <c r="E567" s="1" t="n">
        <v>46274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45104</v>
      </c>
      <c r="E568" s="1" t="n">
        <v>46274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10.9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45104</v>
      </c>
      <c r="E569" s="1" t="n">
        <v>46274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44452-2024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45574</v>
      </c>
      <c r="E570" s="1" t="n">
        <v>46274</v>
      </c>
      <c r="F570" t="inlineStr">
        <is>
          <t>BLEKINGE LÄN</t>
        </is>
      </c>
      <c r="G570" t="inlineStr">
        <is>
          <t>RONNEBY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34888-2024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45527</v>
      </c>
      <c r="E571" s="1" t="n">
        <v>46274</v>
      </c>
      <c r="F571" t="inlineStr">
        <is>
          <t>BLEKINGE LÄN</t>
        </is>
      </c>
      <c r="G571" t="inlineStr">
        <is>
          <t>RONNEBY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45531</v>
      </c>
      <c r="E572" s="1" t="n">
        <v>46274</v>
      </c>
      <c r="F572" t="inlineStr">
        <is>
          <t>BLEKINGE LÄN</t>
        </is>
      </c>
      <c r="G572" t="inlineStr">
        <is>
          <t>RONNEBY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41421-2024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45560</v>
      </c>
      <c r="E573" s="1" t="n">
        <v>46274</v>
      </c>
      <c r="F573" t="inlineStr">
        <is>
          <t>BLEKINGE LÄN</t>
        </is>
      </c>
      <c r="G573" t="inlineStr">
        <is>
          <t>RONNEBY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45691</v>
      </c>
      <c r="E574" s="1" t="n">
        <v>46274</v>
      </c>
      <c r="F574" t="inlineStr">
        <is>
          <t>BLEKINGE LÄN</t>
        </is>
      </c>
      <c r="G574" t="inlineStr">
        <is>
          <t>RONNEBY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14429-2024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46274</v>
      </c>
      <c r="F575" t="inlineStr">
        <is>
          <t>BLEKINGE LÄN</t>
        </is>
      </c>
      <c r="G575" t="inlineStr">
        <is>
          <t>RONNEBY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46274</v>
      </c>
      <c r="F576" t="inlineStr">
        <is>
          <t>BLEKINGE LÄN</t>
        </is>
      </c>
      <c r="G576" t="inlineStr">
        <is>
          <t>RONNEBY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44966</v>
      </c>
      <c r="E577" s="1" t="n">
        <v>46274</v>
      </c>
      <c r="F577" t="inlineStr">
        <is>
          <t>BLEKINGE LÄN</t>
        </is>
      </c>
      <c r="G577" t="inlineStr">
        <is>
          <t>RONNEBY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46274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10.2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31122-2024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45502</v>
      </c>
      <c r="E579" s="1" t="n">
        <v>46274</v>
      </c>
      <c r="F579" t="inlineStr">
        <is>
          <t>BLEKINGE LÄN</t>
        </is>
      </c>
      <c r="G579" t="inlineStr">
        <is>
          <t>RONNEBY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22193-2025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45785</v>
      </c>
      <c r="E580" s="1" t="n">
        <v>46274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45567</v>
      </c>
      <c r="E581" s="1" t="n">
        <v>46274</v>
      </c>
      <c r="F581" t="inlineStr">
        <is>
          <t>BLEKINGE LÄN</t>
        </is>
      </c>
      <c r="G581" t="inlineStr">
        <is>
          <t>RONNEBY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34884-2024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45527</v>
      </c>
      <c r="E582" s="1" t="n">
        <v>46274</v>
      </c>
      <c r="F582" t="inlineStr">
        <is>
          <t>BLEKINGE LÄN</t>
        </is>
      </c>
      <c r="G582" t="inlineStr">
        <is>
          <t>RONNEBY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38463-2024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45546</v>
      </c>
      <c r="E583" s="1" t="n">
        <v>46274</v>
      </c>
      <c r="F583" t="inlineStr">
        <is>
          <t>BLEKINGE LÄN</t>
        </is>
      </c>
      <c r="G583" t="inlineStr">
        <is>
          <t>RONNEBY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11168-2025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45724</v>
      </c>
      <c r="E584" s="1" t="n">
        <v>46274</v>
      </c>
      <c r="F584" t="inlineStr">
        <is>
          <t>BLEKINGE LÄN</t>
        </is>
      </c>
      <c r="G584" t="inlineStr">
        <is>
          <t>RONNEBY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45642-2024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45579</v>
      </c>
      <c r="E585" s="1" t="n">
        <v>46274</v>
      </c>
      <c r="F585" t="inlineStr">
        <is>
          <t>BLEKINGE LÄN</t>
        </is>
      </c>
      <c r="G585" t="inlineStr">
        <is>
          <t>RONNEBY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35245-2024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45530</v>
      </c>
      <c r="E586" s="1" t="n">
        <v>46274</v>
      </c>
      <c r="F586" t="inlineStr">
        <is>
          <t>BLEKINGE LÄN</t>
        </is>
      </c>
      <c r="G586" t="inlineStr">
        <is>
          <t>RONNEBY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45646</v>
      </c>
      <c r="E587" s="1" t="n">
        <v>46274</v>
      </c>
      <c r="F587" t="inlineStr">
        <is>
          <t>BLEKINGE LÄN</t>
        </is>
      </c>
      <c r="G587" t="inlineStr">
        <is>
          <t>RONNEBY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46274</v>
      </c>
      <c r="F588" t="inlineStr">
        <is>
          <t>BLEKINGE LÄN</t>
        </is>
      </c>
      <c r="G588" t="inlineStr">
        <is>
          <t>RONNEBY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39564-2024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46274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64469-2023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45280</v>
      </c>
      <c r="E590" s="1" t="n">
        <v>46274</v>
      </c>
      <c r="F590" t="inlineStr">
        <is>
          <t>BLEKINGE LÄN</t>
        </is>
      </c>
      <c r="G590" t="inlineStr">
        <is>
          <t>RONNEBY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23383-2025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46274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46274</v>
      </c>
      <c r="F592" t="inlineStr">
        <is>
          <t>BLEKINGE LÄN</t>
        </is>
      </c>
      <c r="G592" t="inlineStr">
        <is>
          <t>RONNEBY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44973</v>
      </c>
      <c r="E593" s="1" t="n">
        <v>46274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24013-2023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45078</v>
      </c>
      <c r="E594" s="1" t="n">
        <v>46274</v>
      </c>
      <c r="F594" t="inlineStr">
        <is>
          <t>BLEKINGE LÄN</t>
        </is>
      </c>
      <c r="G594" t="inlineStr">
        <is>
          <t>RONNEBY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49939-2024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45597</v>
      </c>
      <c r="E595" s="1" t="n">
        <v>46274</v>
      </c>
      <c r="F595" t="inlineStr">
        <is>
          <t>BLEKINGE LÄN</t>
        </is>
      </c>
      <c r="G595" t="inlineStr">
        <is>
          <t>RONNEBY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45433-2023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45194</v>
      </c>
      <c r="E596" s="1" t="n">
        <v>46274</v>
      </c>
      <c r="F596" t="inlineStr">
        <is>
          <t>BLEKINGE LÄN</t>
        </is>
      </c>
      <c r="G596" t="inlineStr">
        <is>
          <t>RONNEBY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57880-2023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46274</v>
      </c>
      <c r="F597" t="inlineStr">
        <is>
          <t>BLEKINGE LÄN</t>
        </is>
      </c>
      <c r="G597" t="inlineStr">
        <is>
          <t>RONNEBY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46274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45490</v>
      </c>
      <c r="E599" s="1" t="n">
        <v>46274</v>
      </c>
      <c r="F599" t="inlineStr">
        <is>
          <t>BLEKINGE LÄN</t>
        </is>
      </c>
      <c r="G599" t="inlineStr">
        <is>
          <t>RONNEBY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25861-2025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46274</v>
      </c>
      <c r="F600" t="inlineStr">
        <is>
          <t>BLEKINGE LÄN</t>
        </is>
      </c>
      <c r="G600" t="inlineStr">
        <is>
          <t>RONNEBY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22243-2025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46274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27505-2025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45813</v>
      </c>
      <c r="E602" s="1" t="n">
        <v>46274</v>
      </c>
      <c r="F602" t="inlineStr">
        <is>
          <t>BLEKINGE LÄN</t>
        </is>
      </c>
      <c r="G602" t="inlineStr">
        <is>
          <t>RONNEBY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17193-2024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45413</v>
      </c>
      <c r="E603" s="1" t="n">
        <v>46274</v>
      </c>
      <c r="F603" t="inlineStr">
        <is>
          <t>BLEKINGE LÄN</t>
        </is>
      </c>
      <c r="G603" t="inlineStr">
        <is>
          <t>RONNEBY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30227-2025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46274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46274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45825</v>
      </c>
      <c r="E606" s="1" t="n">
        <v>46274</v>
      </c>
      <c r="F606" t="inlineStr">
        <is>
          <t>BLEKINGE LÄN</t>
        </is>
      </c>
      <c r="G606" t="inlineStr">
        <is>
          <t>RONNEBY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45833</v>
      </c>
      <c r="E607" s="1" t="n">
        <v>46274</v>
      </c>
      <c r="F607" t="inlineStr">
        <is>
          <t>BLEKINGE LÄN</t>
        </is>
      </c>
      <c r="G607" t="inlineStr">
        <is>
          <t>RONNEBY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46274</v>
      </c>
      <c r="F608" t="inlineStr">
        <is>
          <t>BLEKINGE LÄN</t>
        </is>
      </c>
      <c r="G608" t="inlineStr">
        <is>
          <t>RONNEBY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32142-2025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45835</v>
      </c>
      <c r="E609" s="1" t="n">
        <v>46274</v>
      </c>
      <c r="F609" t="inlineStr">
        <is>
          <t>BLEKINGE LÄN</t>
        </is>
      </c>
      <c r="G609" t="inlineStr">
        <is>
          <t>RONNEBY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46274</v>
      </c>
      <c r="F610" t="inlineStr">
        <is>
          <t>BLEKINGE LÄN</t>
        </is>
      </c>
      <c r="G610" t="inlineStr">
        <is>
          <t>RONNEBY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45838</v>
      </c>
      <c r="E611" s="1" t="n">
        <v>46274</v>
      </c>
      <c r="F611" t="inlineStr">
        <is>
          <t>BLEKINGE LÄN</t>
        </is>
      </c>
      <c r="G611" t="inlineStr">
        <is>
          <t>RONNEBY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46274</v>
      </c>
      <c r="F612" t="inlineStr">
        <is>
          <t>BLEKINGE LÄN</t>
        </is>
      </c>
      <c r="G612" t="inlineStr">
        <is>
          <t>RONNEBY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33986-2025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45843</v>
      </c>
      <c r="E613" s="1" t="n">
        <v>46274</v>
      </c>
      <c r="F613" t="inlineStr">
        <is>
          <t>BLEKINGE LÄN</t>
        </is>
      </c>
      <c r="G613" t="inlineStr">
        <is>
          <t>RONNEBY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36724-2024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45537</v>
      </c>
      <c r="E614" s="1" t="n">
        <v>46274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46274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45846</v>
      </c>
      <c r="E616" s="1" t="n">
        <v>46274</v>
      </c>
      <c r="F616" t="inlineStr">
        <is>
          <t>BLEKINGE LÄN</t>
        </is>
      </c>
      <c r="G616" t="inlineStr">
        <is>
          <t>RONNEBY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35580-2025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45856</v>
      </c>
      <c r="E617" s="1" t="n">
        <v>46274</v>
      </c>
      <c r="F617" t="inlineStr">
        <is>
          <t>BLEKINGE LÄN</t>
        </is>
      </c>
      <c r="G617" t="inlineStr">
        <is>
          <t>RONNEBY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46274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46274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46274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46274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46274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46274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46274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46274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46274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46274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46274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46274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46274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46274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46274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46274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46274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2026-09-09T02:12:21Z</dcterms:created>
  <dcterms:modified xmlns:dcterms="http://purl.org/dc/terms/" xmlns:xsi="http://www.w3.org/2001/XMLSchema-instance" xsi:type="dcterms:W3CDTF">2026-09-09T02:12:22Z</dcterms:modified>
</cp:coreProperties>
</file>