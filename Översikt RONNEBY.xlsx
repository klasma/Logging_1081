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46263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8</v>
      </c>
      <c r="U8" t="n">
        <v>7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46263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46263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46263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46263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46263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46263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46263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46263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46263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46263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Svarthakad buskskvätta
Trana</t>
        </is>
      </c>
      <c r="W21">
        <f>HYPERLINK("https://klasma.github.io/Logging_1081/artfynd/A 12131-2023 artfynd.xlsx", "A 12131-2023")</f>
        <v/>
      </c>
      <c r="X21">
        <f>HYPERLINK("https://klasma.github.io/Logging_1081/kartor/A 12131-2023 karta.png", "A 12131-2023")</f>
        <v/>
      </c>
      <c r="Y21">
        <f>HYPERLINK("https://klasma.github.io/Logging_1081/kartor_geotiff/A 12131-2023 georefererad karta.tif", "A 12131-2023")</f>
        <v/>
      </c>
      <c r="AA21">
        <f>HYPERLINK("https://klasma.github.io/Logging_1081/klagomål/A 12131-2023 FSC-klagomål.docx", "A 12131-2023")</f>
        <v/>
      </c>
      <c r="AB21">
        <f>HYPERLINK("https://klasma.github.io/Logging_1081/klagomålsmail/A 12131-2023 FSC-klagomål mail.docx", "A 12131-2023")</f>
        <v/>
      </c>
      <c r="AC21">
        <f>HYPERLINK("https://klasma.github.io/Logging_1081/tillsyn/A 12131-2023 tillsynsbegäran.docx", "A 12131-2023")</f>
        <v/>
      </c>
      <c r="AD21">
        <f>HYPERLINK("https://klasma.github.io/Logging_1081/tillsynsmail/A 12131-2023 tillsynsbegäran mail.docx", "A 12131-2023")</f>
        <v/>
      </c>
      <c r="AE21">
        <f>HYPERLINK("https://klasma.github.io/Logging_1081/fåglar/A 12131-2023 prioriterade fågelarter.docx", "A 12131-2023")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46263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46263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46263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46263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46263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Ekskinn
Noshornsoxe</t>
        </is>
      </c>
      <c r="W26">
        <f>HYPERLINK("https://klasma.github.io/Logging_1081/artfynd/A 27307-2026 artfynd.xlsx", "A 27307-2026")</f>
        <v/>
      </c>
      <c r="X26">
        <f>HYPERLINK("https://klasma.github.io/Logging_1081/kartor/A 27307-2026 karta.png", "A 27307-2026")</f>
        <v/>
      </c>
      <c r="Y26">
        <f>HYPERLINK("https://klasma.github.io/Logging_1081/kartor_geotiff/A 27307-2026 georefererad karta.tif", "A 27307-2026")</f>
        <v/>
      </c>
      <c r="AA26">
        <f>HYPERLINK("https://klasma.github.io/Logging_1081/klagomål/A 27307-2026 FSC-klagomål.docx", "A 27307-2026")</f>
        <v/>
      </c>
      <c r="AB26">
        <f>HYPERLINK("https://klasma.github.io/Logging_1081/klagomålsmail/A 27307-2026 FSC-klagomål mail.docx", "A 27307-2026")</f>
        <v/>
      </c>
      <c r="AC26">
        <f>HYPERLINK("https://klasma.github.io/Logging_1081/tillsyn/A 27307-2026 tillsynsbegäran.docx", "A 27307-2026")</f>
        <v/>
      </c>
      <c r="AD26">
        <f>HYPERLINK("https://klasma.github.io/Logging_1081/tillsynsmail/A 27307-2026 tillsynsbegäran mail.docx", "A 27307-2026")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46263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46263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46263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46263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46263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24296-2024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45457</v>
      </c>
      <c r="E32" s="1" t="n">
        <v>46263</v>
      </c>
      <c r="F32" t="inlineStr">
        <is>
          <t>BLEKINGE LÄN</t>
        </is>
      </c>
      <c r="G32" t="inlineStr">
        <is>
          <t>RONNEBY</t>
        </is>
      </c>
      <c r="I32" t="n">
        <v>12.7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HYPERLINK("https://klasma.github.io/Logging_1081/artfynd/A 24296-2024 artfynd.xlsx", "A 24296-2024")</f>
        <v/>
      </c>
      <c r="X32">
        <f>HYPERLINK("https://klasma.github.io/Logging_1081/kartor/A 24296-2024 karta.png", "A 24296-2024")</f>
        <v/>
      </c>
      <c r="Y32">
        <f>HYPERLINK("https://klasma.github.io/Logging_1081/kartor_geotiff/A 24296-2024 georefererad karta.tif", "A 24296-2024")</f>
        <v/>
      </c>
      <c r="AA32">
        <f>HYPERLINK("https://klasma.github.io/Logging_1081/klagomål/A 24296-2024 FSC-klagomål.docx", "A 24296-2024")</f>
        <v/>
      </c>
      <c r="AB32">
        <f>HYPERLINK("https://klasma.github.io/Logging_1081/klagomålsmail/A 24296-2024 FSC-klagomål mail.docx", "A 24296-2024")</f>
        <v/>
      </c>
      <c r="AC32">
        <f>HYPERLINK("https://klasma.github.io/Logging_1081/tillsyn/A 24296-2024 tillsynsbegäran.docx", "A 24296-2024")</f>
        <v/>
      </c>
      <c r="AD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46263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HYPERLINK("https://klasma.github.io/Logging_1081/artfynd/A 6431-2025 artfynd.xlsx", "A 6431-2025")</f>
        <v/>
      </c>
      <c r="X33">
        <f>HYPERLINK("https://klasma.github.io/Logging_1081/kartor/A 6431-2025 karta.png", "A 6431-2025")</f>
        <v/>
      </c>
      <c r="Y33">
        <f>HYPERLINK("https://klasma.github.io/Logging_1081/kartor_geotiff/A 6431-2025 georefererad karta.tif", "A 6431-2025")</f>
        <v/>
      </c>
      <c r="AA33">
        <f>HYPERLINK("https://klasma.github.io/Logging_1081/klagomål/A 6431-2025 FSC-klagomål.docx", "A 6431-2025")</f>
        <v/>
      </c>
      <c r="AB33">
        <f>HYPERLINK("https://klasma.github.io/Logging_1081/klagomålsmail/A 6431-2025 FSC-klagomål mail.docx", "A 6431-2025")</f>
        <v/>
      </c>
      <c r="AC33">
        <f>HYPERLINK("https://klasma.github.io/Logging_1081/tillsyn/A 6431-2025 tillsynsbegäran.docx", "A 6431-2025")</f>
        <v/>
      </c>
      <c r="AD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46263</v>
      </c>
      <c r="F34" t="inlineStr">
        <is>
          <t>BLEKINGE LÄN</t>
        </is>
      </c>
      <c r="G34" t="inlineStr">
        <is>
          <t>RONNEBY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Hasselsnok</t>
        </is>
      </c>
      <c r="W34">
        <f>HYPERLINK("https://klasma.github.io/Logging_1081/artfynd/A 38228-2024 artfynd.xlsx", "A 38228-2024")</f>
        <v/>
      </c>
      <c r="X34">
        <f>HYPERLINK("https://klasma.github.io/Logging_1081/kartor/A 38228-2024 karta.png", "A 38228-2024")</f>
        <v/>
      </c>
      <c r="Y34">
        <f>HYPERLINK("https://klasma.github.io/Logging_1081/kartor_geotiff/A 38228-2024 georefererad karta.tif", "A 38228-2024")</f>
        <v/>
      </c>
      <c r="AA34">
        <f>HYPERLINK("https://klasma.github.io/Logging_1081/klagomål/A 38228-2024 FSC-klagomål.docx", "A 38228-2024")</f>
        <v/>
      </c>
      <c r="AB34">
        <f>HYPERLINK("https://klasma.github.io/Logging_1081/klagomålsmail/A 38228-2024 FSC-klagomål mail.docx", "A 38228-2024")</f>
        <v/>
      </c>
      <c r="AC34">
        <f>HYPERLINK("https://klasma.github.io/Logging_1081/tillsyn/A 38228-2024 tillsynsbegäran.docx", "A 38228-2024")</f>
        <v/>
      </c>
      <c r="AD34">
        <f>HYPERLINK("https://klasma.github.io/Logging_1081/tillsynsmail/A 38228-2024 tillsynsbegäran mail.docx", "A 38228-2024")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46263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46263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46263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46263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21446-2023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46263</v>
      </c>
      <c r="F39" t="inlineStr">
        <is>
          <t>BLEKINGE LÄN</t>
        </is>
      </c>
      <c r="G39" t="inlineStr">
        <is>
          <t>RONNEBY</t>
        </is>
      </c>
      <c r="H39" t="inlineStr">
        <is>
          <t>Kommuner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HYPERLINK("https://klasma.github.io/Logging_1081/artfynd/A 21446-2023 artfynd.xlsx", "A 21446-2023")</f>
        <v/>
      </c>
      <c r="X39">
        <f>HYPERLINK("https://klasma.github.io/Logging_1081/kartor/A 21446-2023 karta.png", "A 21446-2023")</f>
        <v/>
      </c>
      <c r="Y39">
        <f>HYPERLINK("https://klasma.github.io/Logging_1081/kartor_geotiff/A 21446-2023 georefererad karta.tif", "A 21446-2023")</f>
        <v/>
      </c>
      <c r="AA39">
        <f>HYPERLINK("https://klasma.github.io/Logging_1081/klagomål/A 21446-2023 FSC-klagomål.docx", "A 21446-2023")</f>
        <v/>
      </c>
      <c r="AB39">
        <f>HYPERLINK("https://klasma.github.io/Logging_1081/klagomålsmail/A 21446-2023 FSC-klagomål mail.docx", "A 21446-2023")</f>
        <v/>
      </c>
      <c r="AC39">
        <f>HYPERLINK("https://klasma.github.io/Logging_1081/tillsyn/A 21446-2023 tillsynsbegäran.docx", "A 21446-2023")</f>
        <v/>
      </c>
      <c r="AD39">
        <f>HYPERLINK("https://klasma.github.io/Logging_1081/tillsynsmail/A 21446-2023 tillsynsbegäran mail.docx", "A 21446-2023")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46263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46263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46263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HYPERLINK("https://klasma.github.io/Logging_1081/artfynd/A 19471-2026 artfynd.xlsx", "A 19471-2026")</f>
        <v/>
      </c>
      <c r="X42">
        <f>HYPERLINK("https://klasma.github.io/Logging_1081/kartor/A 19471-2026 karta.png", "A 19471-2026")</f>
        <v/>
      </c>
      <c r="Y42">
        <f>HYPERLINK("https://klasma.github.io/Logging_1081/kartor_geotiff/A 19471-2026 georefererad karta.tif", "A 19471-2026")</f>
        <v/>
      </c>
      <c r="AA42">
        <f>HYPERLINK("https://klasma.github.io/Logging_1081/klagomål/A 19471-2026 FSC-klagomål.docx", "A 19471-2026")</f>
        <v/>
      </c>
      <c r="AB42">
        <f>HYPERLINK("https://klasma.github.io/Logging_1081/klagomålsmail/A 19471-2026 FSC-klagomål mail.docx", "A 19471-2026")</f>
        <v/>
      </c>
      <c r="AC42">
        <f>HYPERLINK("https://klasma.github.io/Logging_1081/tillsyn/A 19471-2026 tillsynsbegäran.docx", "A 19471-2026")</f>
        <v/>
      </c>
      <c r="AD42">
        <f>HYPERLINK("https://klasma.github.io/Logging_1081/tillsynsmail/A 19471-2026 tillsynsbegäran mail.docx", "A 19471-2026")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46263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45186-2021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44439</v>
      </c>
      <c r="E44" s="1" t="n">
        <v>46263</v>
      </c>
      <c r="F44" t="inlineStr">
        <is>
          <t>BLEKINGE LÄN</t>
        </is>
      </c>
      <c r="G44" t="inlineStr">
        <is>
          <t>RONNEBY</t>
        </is>
      </c>
      <c r="I44" t="n">
        <v>3.7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 glada</t>
        </is>
      </c>
      <c r="W44">
        <f>HYPERLINK("https://klasma.github.io/Logging_1081/artfynd/A 45186-2021 artfynd.xlsx", "A 45186-2021")</f>
        <v/>
      </c>
      <c r="X44">
        <f>HYPERLINK("https://klasma.github.io/Logging_1081/kartor/A 45186-2021 karta.png", "A 45186-2021")</f>
        <v/>
      </c>
      <c r="Y44">
        <f>HYPERLINK("https://klasma.github.io/Logging_1081/kartor_geotiff/A 45186-2021 georefererad karta.tif", "A 45186-2021")</f>
        <v/>
      </c>
      <c r="AA44">
        <f>HYPERLINK("https://klasma.github.io/Logging_1081/klagomål/A 45186-2021 FSC-klagomål.docx", "A 45186-2021")</f>
        <v/>
      </c>
      <c r="AB44">
        <f>HYPERLINK("https://klasma.github.io/Logging_1081/klagomålsmail/A 45186-2021 FSC-klagomål mail.docx", "A 45186-2021")</f>
        <v/>
      </c>
      <c r="AC44">
        <f>HYPERLINK("https://klasma.github.io/Logging_1081/tillsyn/A 45186-2021 tillsynsbegäran.docx", "A 45186-2021")</f>
        <v/>
      </c>
      <c r="AD44">
        <f>HYPERLINK("https://klasma.github.io/Logging_1081/tillsynsmail/A 45186-2021 tillsynsbegäran mail.docx", "A 45186-2021")</f>
        <v/>
      </c>
      <c r="AE44">
        <f>HYPERLINK("https://klasma.github.io/Logging_1081/fåglar/A 45186-2021 prioriterade fågelarter.docx", "A 45186-2021")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46263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46263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46263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46263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46263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46263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46263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46263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46263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46263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46263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46263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46263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46263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46263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46263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46263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46263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46263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46263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46263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46263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46263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46263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46263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46263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46263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46263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46263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46263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46263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46263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46263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46263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46263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46263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46263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46263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46263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46263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46263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46263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46263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46263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46263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46263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46263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46263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46263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46263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46263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46263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46263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46263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46263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46263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46263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46263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46263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46263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46263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46263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46263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46263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46263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46263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46263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46263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46263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46263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46263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46263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46263</v>
      </c>
      <c r="F117" t="inlineStr">
        <is>
          <t>BLEKINGE LÄN</t>
        </is>
      </c>
      <c r="G117" t="inlineStr">
        <is>
          <t>RONNEBY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46263</v>
      </c>
      <c r="F118" t="inlineStr">
        <is>
          <t>BLEKINGE LÄN</t>
        </is>
      </c>
      <c r="G118" t="inlineStr">
        <is>
          <t>RONNEBY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46263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46263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45360</v>
      </c>
      <c r="E121" s="1" t="n">
        <v>46263</v>
      </c>
      <c r="F121" t="inlineStr">
        <is>
          <t>BLEKINGE LÄN</t>
        </is>
      </c>
      <c r="G121" t="inlineStr">
        <is>
          <t>RONNEBY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44778</v>
      </c>
      <c r="E122" s="1" t="n">
        <v>46263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46263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45536</v>
      </c>
      <c r="E124" s="1" t="n">
        <v>46263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46263</v>
      </c>
      <c r="F125" t="inlineStr">
        <is>
          <t>BLEKINGE LÄN</t>
        </is>
      </c>
      <c r="G125" t="inlineStr">
        <is>
          <t>RONNEBY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46263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46263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46263</v>
      </c>
      <c r="F128" t="inlineStr">
        <is>
          <t>BLEKINGE LÄN</t>
        </is>
      </c>
      <c r="G128" t="inlineStr">
        <is>
          <t>RONNEBY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46263</v>
      </c>
      <c r="F129" t="inlineStr">
        <is>
          <t>BLEKINGE LÄN</t>
        </is>
      </c>
      <c r="G129" t="inlineStr">
        <is>
          <t>RONNEBY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46263</v>
      </c>
      <c r="F130" t="inlineStr">
        <is>
          <t>BLEKINGE LÄN</t>
        </is>
      </c>
      <c r="G130" t="inlineStr">
        <is>
          <t>RONNEBY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46263</v>
      </c>
      <c r="F131" t="inlineStr">
        <is>
          <t>BLEKINGE LÄN</t>
        </is>
      </c>
      <c r="G131" t="inlineStr">
        <is>
          <t>RONNEBY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46263</v>
      </c>
      <c r="F132" t="inlineStr">
        <is>
          <t>BLEKINGE LÄN</t>
        </is>
      </c>
      <c r="G132" t="inlineStr">
        <is>
          <t>RONNEBY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45238</v>
      </c>
      <c r="E133" s="1" t="n">
        <v>46263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45426</v>
      </c>
      <c r="E134" s="1" t="n">
        <v>46263</v>
      </c>
      <c r="F134" t="inlineStr">
        <is>
          <t>BLEKINGE LÄN</t>
        </is>
      </c>
      <c r="G134" t="inlineStr">
        <is>
          <t>RONNEBY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46263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45724</v>
      </c>
      <c r="E136" s="1" t="n">
        <v>46263</v>
      </c>
      <c r="F136" t="inlineStr">
        <is>
          <t>BLEKINGE LÄN</t>
        </is>
      </c>
      <c r="G136" t="inlineStr">
        <is>
          <t>RONNEBY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46263</v>
      </c>
      <c r="F137" t="inlineStr">
        <is>
          <t>BLEKINGE LÄN</t>
        </is>
      </c>
      <c r="G137" t="inlineStr">
        <is>
          <t>RONNEBY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45381</v>
      </c>
      <c r="E138" s="1" t="n">
        <v>46263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1909-2023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44939</v>
      </c>
      <c r="E139" s="1" t="n">
        <v>46263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45579</v>
      </c>
      <c r="E140" s="1" t="n">
        <v>46263</v>
      </c>
      <c r="F140" t="inlineStr">
        <is>
          <t>BLEKINGE LÄN</t>
        </is>
      </c>
      <c r="G140" t="inlineStr">
        <is>
          <t>RONNEBY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46263</v>
      </c>
      <c r="F141" t="inlineStr">
        <is>
          <t>BLEKINGE LÄN</t>
        </is>
      </c>
      <c r="G141" t="inlineStr">
        <is>
          <t>RONNEBY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46263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46263</v>
      </c>
      <c r="F143" t="inlineStr">
        <is>
          <t>BLEKINGE LÄN</t>
        </is>
      </c>
      <c r="G143" t="inlineStr">
        <is>
          <t>RONNEBY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46263</v>
      </c>
      <c r="F144" t="inlineStr">
        <is>
          <t>BLEKINGE LÄN</t>
        </is>
      </c>
      <c r="G144" t="inlineStr">
        <is>
          <t>RONNEBY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46263</v>
      </c>
      <c r="F145" t="inlineStr">
        <is>
          <t>BLEKINGE LÄN</t>
        </is>
      </c>
      <c r="G145" t="inlineStr">
        <is>
          <t>RONNEBY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46263</v>
      </c>
      <c r="F146" t="inlineStr">
        <is>
          <t>BLEKINGE LÄN</t>
        </is>
      </c>
      <c r="G146" t="inlineStr">
        <is>
          <t>RONNEBY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46263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46263</v>
      </c>
      <c r="F148" t="inlineStr">
        <is>
          <t>BLEKINGE LÄN</t>
        </is>
      </c>
      <c r="G148" t="inlineStr">
        <is>
          <t>RONNEBY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46263</v>
      </c>
      <c r="F149" t="inlineStr">
        <is>
          <t>BLEKINGE LÄN</t>
        </is>
      </c>
      <c r="G149" t="inlineStr">
        <is>
          <t>RONNEBY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46263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46263</v>
      </c>
      <c r="F151" t="inlineStr">
        <is>
          <t>BLEKINGE LÄN</t>
        </is>
      </c>
      <c r="G151" t="inlineStr">
        <is>
          <t>RONNEBY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45121</v>
      </c>
      <c r="E152" s="1" t="n">
        <v>46263</v>
      </c>
      <c r="F152" t="inlineStr">
        <is>
          <t>BLEKINGE LÄN</t>
        </is>
      </c>
      <c r="G152" t="inlineStr">
        <is>
          <t>RONNEBY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46263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45505</v>
      </c>
      <c r="E154" s="1" t="n">
        <v>46263</v>
      </c>
      <c r="F154" t="inlineStr">
        <is>
          <t>BLEKINGE LÄN</t>
        </is>
      </c>
      <c r="G154" t="inlineStr">
        <is>
          <t>RONNEBY</t>
        </is>
      </c>
      <c r="H154" t="inlineStr">
        <is>
          <t>Kommuner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46263</v>
      </c>
      <c r="F155" t="inlineStr">
        <is>
          <t>BLEKINGE LÄN</t>
        </is>
      </c>
      <c r="G155" t="inlineStr">
        <is>
          <t>RONNEBY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46263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45892</v>
      </c>
      <c r="E157" s="1" t="n">
        <v>46263</v>
      </c>
      <c r="F157" t="inlineStr">
        <is>
          <t>BLEKINGE LÄN</t>
        </is>
      </c>
      <c r="G157" t="inlineStr">
        <is>
          <t>RONNEBY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46263</v>
      </c>
      <c r="F158" t="inlineStr">
        <is>
          <t>BLEKINGE LÄN</t>
        </is>
      </c>
      <c r="G158" t="inlineStr">
        <is>
          <t>RONNEBY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46263</v>
      </c>
      <c r="F159" t="inlineStr">
        <is>
          <t>BLEKINGE LÄN</t>
        </is>
      </c>
      <c r="G159" t="inlineStr">
        <is>
          <t>RONNEBY</t>
        </is>
      </c>
      <c r="I159" t="n">
        <v>14.4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46263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46263</v>
      </c>
      <c r="F161" t="inlineStr">
        <is>
          <t>BLEKINGE LÄN</t>
        </is>
      </c>
      <c r="G161" t="inlineStr">
        <is>
          <t>RONNEBY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46263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46263</v>
      </c>
      <c r="F163" t="inlineStr">
        <is>
          <t>BLEKINGE LÄN</t>
        </is>
      </c>
      <c r="G163" t="inlineStr">
        <is>
          <t>RONNEBY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46263</v>
      </c>
      <c r="F164" t="inlineStr">
        <is>
          <t>BLEKINGE LÄN</t>
        </is>
      </c>
      <c r="G164" t="inlineStr">
        <is>
          <t>RONNEBY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46263</v>
      </c>
      <c r="F165" t="inlineStr">
        <is>
          <t>BLEKINGE LÄN</t>
        </is>
      </c>
      <c r="G165" t="inlineStr">
        <is>
          <t>RONNEBY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44595</v>
      </c>
      <c r="E166" s="1" t="n">
        <v>46263</v>
      </c>
      <c r="F166" t="inlineStr">
        <is>
          <t>BLEKINGE LÄN</t>
        </is>
      </c>
      <c r="G166" t="inlineStr">
        <is>
          <t>RONNEBY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46263</v>
      </c>
      <c r="F167" t="inlineStr">
        <is>
          <t>BLEKINGE LÄN</t>
        </is>
      </c>
      <c r="G167" t="inlineStr">
        <is>
          <t>RONNEBY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46263</v>
      </c>
      <c r="F168" t="inlineStr">
        <is>
          <t>BLEKINGE LÄN</t>
        </is>
      </c>
      <c r="G168" t="inlineStr">
        <is>
          <t>RONNEBY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46263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46263</v>
      </c>
      <c r="F170" t="inlineStr">
        <is>
          <t>BLEKINGE LÄN</t>
        </is>
      </c>
      <c r="G170" t="inlineStr">
        <is>
          <t>RONNEBY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45910</v>
      </c>
      <c r="E171" s="1" t="n">
        <v>46263</v>
      </c>
      <c r="F171" t="inlineStr">
        <is>
          <t>BLEKINGE LÄN</t>
        </is>
      </c>
      <c r="G171" t="inlineStr">
        <is>
          <t>RONNEBY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44944</v>
      </c>
      <c r="E172" s="1" t="n">
        <v>46263</v>
      </c>
      <c r="F172" t="inlineStr">
        <is>
          <t>BLEKINGE LÄN</t>
        </is>
      </c>
      <c r="G172" t="inlineStr">
        <is>
          <t>RONNEBY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46263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46263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46263</v>
      </c>
      <c r="F175" t="inlineStr">
        <is>
          <t>BLEKINGE LÄN</t>
        </is>
      </c>
      <c r="G175" t="inlineStr">
        <is>
          <t>RONNEBY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46263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46263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46263</v>
      </c>
      <c r="F178" t="inlineStr">
        <is>
          <t>BLEKINGE LÄN</t>
        </is>
      </c>
      <c r="G178" t="inlineStr">
        <is>
          <t>RONNEBY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46263</v>
      </c>
      <c r="F179" t="inlineStr">
        <is>
          <t>BLEKINGE LÄN</t>
        </is>
      </c>
      <c r="G179" t="inlineStr">
        <is>
          <t>RONNEBY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46263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46263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46263</v>
      </c>
      <c r="F182" t="inlineStr">
        <is>
          <t>BLEKINGE LÄN</t>
        </is>
      </c>
      <c r="G182" t="inlineStr">
        <is>
          <t>RONNEBY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46263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46263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46263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46263</v>
      </c>
      <c r="F186" t="inlineStr">
        <is>
          <t>BLEKINGE LÄN</t>
        </is>
      </c>
      <c r="G186" t="inlineStr">
        <is>
          <t>RONNEBY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46263</v>
      </c>
      <c r="F187" t="inlineStr">
        <is>
          <t>BLEKINGE LÄN</t>
        </is>
      </c>
      <c r="G187" t="inlineStr">
        <is>
          <t>RONNEBY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45619</v>
      </c>
      <c r="E188" s="1" t="n">
        <v>46263</v>
      </c>
      <c r="F188" t="inlineStr">
        <is>
          <t>BLEKINGE LÄN</t>
        </is>
      </c>
      <c r="G188" t="inlineStr">
        <is>
          <t>RONNEBY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45303</v>
      </c>
      <c r="E189" s="1" t="n">
        <v>46263</v>
      </c>
      <c r="F189" t="inlineStr">
        <is>
          <t>BLEKINGE LÄN</t>
        </is>
      </c>
      <c r="G189" t="inlineStr">
        <is>
          <t>RONNEBY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46263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45672</v>
      </c>
      <c r="E191" s="1" t="n">
        <v>46263</v>
      </c>
      <c r="F191" t="inlineStr">
        <is>
          <t>BLEKINGE LÄN</t>
        </is>
      </c>
      <c r="G191" t="inlineStr">
        <is>
          <t>RONNEBY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46263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45194</v>
      </c>
      <c r="E193" s="1" t="n">
        <v>46263</v>
      </c>
      <c r="F193" t="inlineStr">
        <is>
          <t>BLEKINGE LÄN</t>
        </is>
      </c>
      <c r="G193" t="inlineStr">
        <is>
          <t>RONNEBY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46263</v>
      </c>
      <c r="F194" t="inlineStr">
        <is>
          <t>BLEKINGE LÄN</t>
        </is>
      </c>
      <c r="G194" t="inlineStr">
        <is>
          <t>RONNEBY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46263</v>
      </c>
      <c r="F195" t="inlineStr">
        <is>
          <t>BLEKINGE LÄN</t>
        </is>
      </c>
      <c r="G195" t="inlineStr">
        <is>
          <t>RONNEBY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46263</v>
      </c>
      <c r="F196" t="inlineStr">
        <is>
          <t>BLEKINGE LÄN</t>
        </is>
      </c>
      <c r="G196" t="inlineStr">
        <is>
          <t>RONNEBY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46263</v>
      </c>
      <c r="F197" t="inlineStr">
        <is>
          <t>BLEKINGE LÄN</t>
        </is>
      </c>
      <c r="G197" t="inlineStr">
        <is>
          <t>RONNEBY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45247</v>
      </c>
      <c r="E198" s="1" t="n">
        <v>46263</v>
      </c>
      <c r="F198" t="inlineStr">
        <is>
          <t>BLEKINGE LÄN</t>
        </is>
      </c>
      <c r="G198" t="inlineStr">
        <is>
          <t>RONNEBY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46263</v>
      </c>
      <c r="F199" t="inlineStr">
        <is>
          <t>BLEKINGE LÄN</t>
        </is>
      </c>
      <c r="G199" t="inlineStr">
        <is>
          <t>RONNEBY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46263</v>
      </c>
      <c r="F200" t="inlineStr">
        <is>
          <t>BLEKINGE LÄN</t>
        </is>
      </c>
      <c r="G200" t="inlineStr">
        <is>
          <t>RONNEBY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30197-2024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45490</v>
      </c>
      <c r="E201" s="1" t="n">
        <v>46263</v>
      </c>
      <c r="F201" t="inlineStr">
        <is>
          <t>BLEKINGE LÄN</t>
        </is>
      </c>
      <c r="G201" t="inlineStr">
        <is>
          <t>RONNEBY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45426</v>
      </c>
      <c r="E202" s="1" t="n">
        <v>46263</v>
      </c>
      <c r="F202" t="inlineStr">
        <is>
          <t>BLEKINGE LÄN</t>
        </is>
      </c>
      <c r="G202" t="inlineStr">
        <is>
          <t>RONNEBY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46263</v>
      </c>
      <c r="F203" t="inlineStr">
        <is>
          <t>BLEKINGE LÄN</t>
        </is>
      </c>
      <c r="G203" t="inlineStr">
        <is>
          <t>RONNEBY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46263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46263</v>
      </c>
      <c r="F205" t="inlineStr">
        <is>
          <t>BLEKINGE LÄN</t>
        </is>
      </c>
      <c r="G205" t="inlineStr">
        <is>
          <t>RONNEBY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46263</v>
      </c>
      <c r="F206" t="inlineStr">
        <is>
          <t>BLEKINGE LÄN</t>
        </is>
      </c>
      <c r="G206" t="inlineStr">
        <is>
          <t>RONNEBY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46263</v>
      </c>
      <c r="F207" t="inlineStr">
        <is>
          <t>BLEKINGE LÄN</t>
        </is>
      </c>
      <c r="G207" t="inlineStr">
        <is>
          <t>RONNEBY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46263</v>
      </c>
      <c r="F208" t="inlineStr">
        <is>
          <t>BLEKINGE LÄN</t>
        </is>
      </c>
      <c r="G208" t="inlineStr">
        <is>
          <t>RONNEBY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45986</v>
      </c>
      <c r="E209" s="1" t="n">
        <v>46263</v>
      </c>
      <c r="F209" t="inlineStr">
        <is>
          <t>BLEKINGE LÄN</t>
        </is>
      </c>
      <c r="G209" t="inlineStr">
        <is>
          <t>RONNEBY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46263</v>
      </c>
      <c r="F210" t="inlineStr">
        <is>
          <t>BLEKINGE LÄN</t>
        </is>
      </c>
      <c r="G210" t="inlineStr">
        <is>
          <t>RONNEBY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46263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46263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46263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46263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44903</v>
      </c>
      <c r="E215" s="1" t="n">
        <v>46263</v>
      </c>
      <c r="F215" t="inlineStr">
        <is>
          <t>BLEKINGE LÄN</t>
        </is>
      </c>
      <c r="G215" t="inlineStr">
        <is>
          <t>RONNEBY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46263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45387</v>
      </c>
      <c r="E217" s="1" t="n">
        <v>46263</v>
      </c>
      <c r="F217" t="inlineStr">
        <is>
          <t>BLEKINGE LÄN</t>
        </is>
      </c>
      <c r="G217" t="inlineStr">
        <is>
          <t>RONNEBY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46263</v>
      </c>
      <c r="F218" t="inlineStr">
        <is>
          <t>BLEKINGE LÄN</t>
        </is>
      </c>
      <c r="G218" t="inlineStr">
        <is>
          <t>RONNEBY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44627</v>
      </c>
      <c r="E219" s="1" t="n">
        <v>46263</v>
      </c>
      <c r="F219" t="inlineStr">
        <is>
          <t>BLEKINGE LÄN</t>
        </is>
      </c>
      <c r="G219" t="inlineStr">
        <is>
          <t>RONNEBY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54065-2024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45616</v>
      </c>
      <c r="E220" s="1" t="n">
        <v>46263</v>
      </c>
      <c r="F220" t="inlineStr">
        <is>
          <t>BLEKINGE LÄN</t>
        </is>
      </c>
      <c r="G220" t="inlineStr">
        <is>
          <t>RONNEBY</t>
        </is>
      </c>
      <c r="H220" t="inlineStr">
        <is>
          <t>Kommuner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45178</v>
      </c>
      <c r="E221" s="1" t="n">
        <v>46263</v>
      </c>
      <c r="F221" t="inlineStr">
        <is>
          <t>BLEKINGE LÄN</t>
        </is>
      </c>
      <c r="G221" t="inlineStr">
        <is>
          <t>RONNEBY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46263</v>
      </c>
      <c r="F222" t="inlineStr">
        <is>
          <t>BLEKINGE LÄN</t>
        </is>
      </c>
      <c r="G222" t="inlineStr">
        <is>
          <t>RONNEBY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46263</v>
      </c>
      <c r="F223" t="inlineStr">
        <is>
          <t>BLEKINGE LÄN</t>
        </is>
      </c>
      <c r="G223" t="inlineStr">
        <is>
          <t>RONNEBY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46263</v>
      </c>
      <c r="F224" t="inlineStr">
        <is>
          <t>BLEKINGE LÄN</t>
        </is>
      </c>
      <c r="G224" t="inlineStr">
        <is>
          <t>RONNEBY</t>
        </is>
      </c>
      <c r="I224" t="n">
        <v>14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46263</v>
      </c>
      <c r="F225" t="inlineStr">
        <is>
          <t>BLEKINGE LÄN</t>
        </is>
      </c>
      <c r="G225" t="inlineStr">
        <is>
          <t>RONNEBY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46263</v>
      </c>
      <c r="F226" t="inlineStr">
        <is>
          <t>BLEKINGE LÄN</t>
        </is>
      </c>
      <c r="G226" t="inlineStr">
        <is>
          <t>RONNEBY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58618-2021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44489</v>
      </c>
      <c r="E227" s="1" t="n">
        <v>46263</v>
      </c>
      <c r="F227" t="inlineStr">
        <is>
          <t>BLEKINGE LÄN</t>
        </is>
      </c>
      <c r="G227" t="inlineStr">
        <is>
          <t>RONNEBY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44565</v>
      </c>
      <c r="E228" s="1" t="n">
        <v>46263</v>
      </c>
      <c r="F228" t="inlineStr">
        <is>
          <t>BLEKINGE LÄN</t>
        </is>
      </c>
      <c r="G228" t="inlineStr">
        <is>
          <t>RONNEBY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46263</v>
      </c>
      <c r="F229" t="inlineStr">
        <is>
          <t>BLEKINGE LÄN</t>
        </is>
      </c>
      <c r="G229" t="inlineStr">
        <is>
          <t>RONNEBY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46263</v>
      </c>
      <c r="F230" t="inlineStr">
        <is>
          <t>BLEKINGE LÄN</t>
        </is>
      </c>
      <c r="G230" t="inlineStr">
        <is>
          <t>RONNEBY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46263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45104</v>
      </c>
      <c r="E232" s="1" t="n">
        <v>46263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46263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45413</v>
      </c>
      <c r="E234" s="1" t="n">
        <v>46263</v>
      </c>
      <c r="F234" t="inlineStr">
        <is>
          <t>BLEKINGE LÄN</t>
        </is>
      </c>
      <c r="G234" t="inlineStr">
        <is>
          <t>RONNEBY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46263</v>
      </c>
      <c r="F235" t="inlineStr">
        <is>
          <t>BLEKINGE LÄN</t>
        </is>
      </c>
      <c r="G235" t="inlineStr">
        <is>
          <t>RONNEBY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45947</v>
      </c>
      <c r="E236" s="1" t="n">
        <v>46263</v>
      </c>
      <c r="F236" t="inlineStr">
        <is>
          <t>BLEKINGE LÄN</t>
        </is>
      </c>
      <c r="G236" t="inlineStr">
        <is>
          <t>RONNEBY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46263</v>
      </c>
      <c r="F237" t="inlineStr">
        <is>
          <t>BLEKINGE LÄN</t>
        </is>
      </c>
      <c r="G237" t="inlineStr">
        <is>
          <t>RONNEBY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45192</v>
      </c>
      <c r="E238" s="1" t="n">
        <v>46263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46263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45825</v>
      </c>
      <c r="E240" s="1" t="n">
        <v>46263</v>
      </c>
      <c r="F240" t="inlineStr">
        <is>
          <t>BLEKINGE LÄN</t>
        </is>
      </c>
      <c r="G240" t="inlineStr">
        <is>
          <t>RONNEBY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46263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46263</v>
      </c>
      <c r="F242" t="inlineStr">
        <is>
          <t>BLEKINGE LÄN</t>
        </is>
      </c>
      <c r="G242" t="inlineStr">
        <is>
          <t>RONNEBY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45827</v>
      </c>
      <c r="E243" s="1" t="n">
        <v>46263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45827</v>
      </c>
      <c r="E244" s="1" t="n">
        <v>46263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46263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46263</v>
      </c>
      <c r="F246" t="inlineStr">
        <is>
          <t>BLEKINGE LÄN</t>
        </is>
      </c>
      <c r="G246" t="inlineStr">
        <is>
          <t>RONNEBY</t>
        </is>
      </c>
      <c r="H246" t="inlineStr">
        <is>
          <t>Kommuner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44944</v>
      </c>
      <c r="E247" s="1" t="n">
        <v>46263</v>
      </c>
      <c r="F247" t="inlineStr">
        <is>
          <t>BLEKINGE LÄN</t>
        </is>
      </c>
      <c r="G247" t="inlineStr">
        <is>
          <t>RONNEBY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46263</v>
      </c>
      <c r="F248" t="inlineStr">
        <is>
          <t>BLEKINGE LÄN</t>
        </is>
      </c>
      <c r="G248" t="inlineStr">
        <is>
          <t>RONNEBY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46263</v>
      </c>
      <c r="F249" t="inlineStr">
        <is>
          <t>BLEKINGE LÄN</t>
        </is>
      </c>
      <c r="G249" t="inlineStr">
        <is>
          <t>RONNEBY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46263</v>
      </c>
      <c r="F250" t="inlineStr">
        <is>
          <t>BLEKINGE LÄN</t>
        </is>
      </c>
      <c r="G250" t="inlineStr">
        <is>
          <t>RONNEBY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46263</v>
      </c>
      <c r="F251" t="inlineStr">
        <is>
          <t>BLEKINGE LÄN</t>
        </is>
      </c>
      <c r="G251" t="inlineStr">
        <is>
          <t>RONNEBY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46263</v>
      </c>
      <c r="F252" t="inlineStr">
        <is>
          <t>BLEKINGE LÄN</t>
        </is>
      </c>
      <c r="G252" t="inlineStr">
        <is>
          <t>RONNEBY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46263</v>
      </c>
      <c r="F253" t="inlineStr">
        <is>
          <t>BLEKINGE LÄN</t>
        </is>
      </c>
      <c r="G253" t="inlineStr">
        <is>
          <t>RONNEBY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46263</v>
      </c>
      <c r="F254" t="inlineStr">
        <is>
          <t>BLEKINGE LÄN</t>
        </is>
      </c>
      <c r="G254" t="inlineStr">
        <is>
          <t>RONNEBY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46263</v>
      </c>
      <c r="F255" t="inlineStr">
        <is>
          <t>BLEKINGE LÄN</t>
        </is>
      </c>
      <c r="G255" t="inlineStr">
        <is>
          <t>RONNEBY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46263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46263</v>
      </c>
      <c r="F257" t="inlineStr">
        <is>
          <t>BLEKINGE LÄN</t>
        </is>
      </c>
      <c r="G257" t="inlineStr">
        <is>
          <t>RONNEBY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46263</v>
      </c>
      <c r="F258" t="inlineStr">
        <is>
          <t>BLEKINGE LÄN</t>
        </is>
      </c>
      <c r="G258" t="inlineStr">
        <is>
          <t>RONNEBY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46263</v>
      </c>
      <c r="F259" t="inlineStr">
        <is>
          <t>BLEKINGE LÄN</t>
        </is>
      </c>
      <c r="G259" t="inlineStr">
        <is>
          <t>RONNEBY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46263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45739</v>
      </c>
      <c r="E261" s="1" t="n">
        <v>46263</v>
      </c>
      <c r="F261" t="inlineStr">
        <is>
          <t>BLEKINGE LÄN</t>
        </is>
      </c>
      <c r="G261" t="inlineStr">
        <is>
          <t>RONNEBY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46263</v>
      </c>
      <c r="F262" t="inlineStr">
        <is>
          <t>BLEKINGE LÄN</t>
        </is>
      </c>
      <c r="G262" t="inlineStr">
        <is>
          <t>RONNEBY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45843</v>
      </c>
      <c r="E263" s="1" t="n">
        <v>46263</v>
      </c>
      <c r="F263" t="inlineStr">
        <is>
          <t>BLEKINGE LÄN</t>
        </is>
      </c>
      <c r="G263" t="inlineStr">
        <is>
          <t>RONNEBY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45559</v>
      </c>
      <c r="E264" s="1" t="n">
        <v>46263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46263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46263</v>
      </c>
      <c r="F266" t="inlineStr">
        <is>
          <t>BLEKINGE LÄN</t>
        </is>
      </c>
      <c r="G266" t="inlineStr">
        <is>
          <t>RONNEBY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46263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45856</v>
      </c>
      <c r="E268" s="1" t="n">
        <v>46263</v>
      </c>
      <c r="F268" t="inlineStr">
        <is>
          <t>BLEKINGE LÄN</t>
        </is>
      </c>
      <c r="G268" t="inlineStr">
        <is>
          <t>RONNEBY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46263</v>
      </c>
      <c r="F269" t="inlineStr">
        <is>
          <t>BLEKINGE LÄN</t>
        </is>
      </c>
      <c r="G269" t="inlineStr">
        <is>
          <t>RONNEBY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45009</v>
      </c>
      <c r="E270" s="1" t="n">
        <v>46263</v>
      </c>
      <c r="F270" t="inlineStr">
        <is>
          <t>BLEKINGE LÄN</t>
        </is>
      </c>
      <c r="G270" t="inlineStr">
        <is>
          <t>RONNEBY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45012</v>
      </c>
      <c r="E271" s="1" t="n">
        <v>46263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statliga verk och myndigheter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46263</v>
      </c>
      <c r="F272" t="inlineStr">
        <is>
          <t>BLEKINGE LÄN</t>
        </is>
      </c>
      <c r="G272" t="inlineStr">
        <is>
          <t>RONNEBY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45299</v>
      </c>
      <c r="E273" s="1" t="n">
        <v>46263</v>
      </c>
      <c r="F273" t="inlineStr">
        <is>
          <t>BLEKINGE LÄN</t>
        </is>
      </c>
      <c r="G273" t="inlineStr">
        <is>
          <t>RONNEBY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45328</v>
      </c>
      <c r="E274" s="1" t="n">
        <v>46263</v>
      </c>
      <c r="F274" t="inlineStr">
        <is>
          <t>BLEKINGE LÄN</t>
        </is>
      </c>
      <c r="G274" t="inlineStr">
        <is>
          <t>RONNEBY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45328</v>
      </c>
      <c r="E275" s="1" t="n">
        <v>46263</v>
      </c>
      <c r="F275" t="inlineStr">
        <is>
          <t>BLEKINGE LÄN</t>
        </is>
      </c>
      <c r="G275" t="inlineStr">
        <is>
          <t>RONNEBY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45653</v>
      </c>
      <c r="E276" s="1" t="n">
        <v>46263</v>
      </c>
      <c r="F276" t="inlineStr">
        <is>
          <t>BLEKINGE LÄN</t>
        </is>
      </c>
      <c r="G276" t="inlineStr">
        <is>
          <t>RONNEBY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45009</v>
      </c>
      <c r="E277" s="1" t="n">
        <v>46263</v>
      </c>
      <c r="F277" t="inlineStr">
        <is>
          <t>BLEKINGE LÄN</t>
        </is>
      </c>
      <c r="G277" t="inlineStr">
        <is>
          <t>RONNEBY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45480</v>
      </c>
      <c r="E278" s="1" t="n">
        <v>46263</v>
      </c>
      <c r="F278" t="inlineStr">
        <is>
          <t>BLEKINGE LÄN</t>
        </is>
      </c>
      <c r="G278" t="inlineStr">
        <is>
          <t>RONNEBY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45328</v>
      </c>
      <c r="E279" s="1" t="n">
        <v>46263</v>
      </c>
      <c r="F279" t="inlineStr">
        <is>
          <t>BLEKINGE LÄN</t>
        </is>
      </c>
      <c r="G279" t="inlineStr">
        <is>
          <t>RONNEBY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46263</v>
      </c>
      <c r="F280" t="inlineStr">
        <is>
          <t>BLEKINGE LÄN</t>
        </is>
      </c>
      <c r="G280" t="inlineStr">
        <is>
          <t>RONNEBY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45715</v>
      </c>
      <c r="E281" s="1" t="n">
        <v>46263</v>
      </c>
      <c r="F281" t="inlineStr">
        <is>
          <t>BLEKINGE LÄN</t>
        </is>
      </c>
      <c r="G281" t="inlineStr">
        <is>
          <t>RONNEBY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44713</v>
      </c>
      <c r="E282" s="1" t="n">
        <v>46263</v>
      </c>
      <c r="F282" t="inlineStr">
        <is>
          <t>BLEKINGE LÄN</t>
        </is>
      </c>
      <c r="G282" t="inlineStr">
        <is>
          <t>RONNEBY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62465-2025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46007</v>
      </c>
      <c r="E283" s="1" t="n">
        <v>46263</v>
      </c>
      <c r="F283" t="inlineStr">
        <is>
          <t>BLEKINGE LÄN</t>
        </is>
      </c>
      <c r="G283" t="inlineStr">
        <is>
          <t>RONNEBY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46263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62427-2025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46007</v>
      </c>
      <c r="E285" s="1" t="n">
        <v>46263</v>
      </c>
      <c r="F285" t="inlineStr">
        <is>
          <t>BLEKINGE LÄN</t>
        </is>
      </c>
      <c r="G285" t="inlineStr">
        <is>
          <t>RONNEBY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45001</v>
      </c>
      <c r="E286" s="1" t="n">
        <v>46263</v>
      </c>
      <c r="F286" t="inlineStr">
        <is>
          <t>BLEKINGE LÄN</t>
        </is>
      </c>
      <c r="G286" t="inlineStr">
        <is>
          <t>RONNEBY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46263</v>
      </c>
      <c r="F287" t="inlineStr">
        <is>
          <t>BLEKINGE LÄN</t>
        </is>
      </c>
      <c r="G287" t="inlineStr">
        <is>
          <t>RONNEBY</t>
        </is>
      </c>
      <c r="I287" t="n">
        <v>8.4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45178</v>
      </c>
      <c r="E288" s="1" t="n">
        <v>46263</v>
      </c>
      <c r="F288" t="inlineStr">
        <is>
          <t>BLEKINGE LÄN</t>
        </is>
      </c>
      <c r="G288" t="inlineStr">
        <is>
          <t>RONNEBY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46263</v>
      </c>
      <c r="F289" t="inlineStr">
        <is>
          <t>BLEKINGE LÄN</t>
        </is>
      </c>
      <c r="G289" t="inlineStr">
        <is>
          <t>RONNEBY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46263</v>
      </c>
      <c r="F290" t="inlineStr">
        <is>
          <t>BLEKINGE LÄN</t>
        </is>
      </c>
      <c r="G290" t="inlineStr">
        <is>
          <t>RONNEBY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44822</v>
      </c>
      <c r="E291" s="1" t="n">
        <v>46263</v>
      </c>
      <c r="F291" t="inlineStr">
        <is>
          <t>BLEKINGE LÄN</t>
        </is>
      </c>
      <c r="G291" t="inlineStr">
        <is>
          <t>RONNEBY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44987</v>
      </c>
      <c r="E292" s="1" t="n">
        <v>46263</v>
      </c>
      <c r="F292" t="inlineStr">
        <is>
          <t>BLEKINGE LÄN</t>
        </is>
      </c>
      <c r="G292" t="inlineStr">
        <is>
          <t>RONNEBY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46263</v>
      </c>
      <c r="F293" t="inlineStr">
        <is>
          <t>BLEKINGE LÄN</t>
        </is>
      </c>
      <c r="G293" t="inlineStr">
        <is>
          <t>RONNEBY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45482</v>
      </c>
      <c r="E294" s="1" t="n">
        <v>46263</v>
      </c>
      <c r="F294" t="inlineStr">
        <is>
          <t>BLEKINGE LÄN</t>
        </is>
      </c>
      <c r="G294" t="inlineStr">
        <is>
          <t>RONNEBY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46263</v>
      </c>
      <c r="F295" t="inlineStr">
        <is>
          <t>BLEKINGE LÄN</t>
        </is>
      </c>
      <c r="G295" t="inlineStr">
        <is>
          <t>RONNEBY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45367-2023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45193</v>
      </c>
      <c r="E296" s="1" t="n">
        <v>46263</v>
      </c>
      <c r="F296" t="inlineStr">
        <is>
          <t>BLEKINGE LÄN</t>
        </is>
      </c>
      <c r="G296" t="inlineStr">
        <is>
          <t>RONNEBY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46263</v>
      </c>
      <c r="F297" t="inlineStr">
        <is>
          <t>BLEKINGE LÄN</t>
        </is>
      </c>
      <c r="G297" t="inlineStr">
        <is>
          <t>RONNEBY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46263</v>
      </c>
      <c r="F298" t="inlineStr">
        <is>
          <t>BLEKINGE LÄN</t>
        </is>
      </c>
      <c r="G298" t="inlineStr">
        <is>
          <t>RONNEBY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44748</v>
      </c>
      <c r="E299" s="1" t="n">
        <v>46263</v>
      </c>
      <c r="F299" t="inlineStr">
        <is>
          <t>BLEKINGE LÄN</t>
        </is>
      </c>
      <c r="G299" t="inlineStr">
        <is>
          <t>RONNEBY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46263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46263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44916</v>
      </c>
      <c r="E302" s="1" t="n">
        <v>46263</v>
      </c>
      <c r="F302" t="inlineStr">
        <is>
          <t>BLEKINGE LÄN</t>
        </is>
      </c>
      <c r="G302" t="inlineStr">
        <is>
          <t>RONNEBY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44862</v>
      </c>
      <c r="E303" s="1" t="n">
        <v>46263</v>
      </c>
      <c r="F303" t="inlineStr">
        <is>
          <t>BLEKINGE LÄN</t>
        </is>
      </c>
      <c r="G303" t="inlineStr">
        <is>
          <t>RONNEBY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46263</v>
      </c>
      <c r="F304" t="inlineStr">
        <is>
          <t>BLEKINGE LÄN</t>
        </is>
      </c>
      <c r="G304" t="inlineStr">
        <is>
          <t>RONNEBY</t>
        </is>
      </c>
      <c r="H304" t="inlineStr">
        <is>
          <t>Övriga Aktiebolag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61730-2022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46263</v>
      </c>
      <c r="F305" t="inlineStr">
        <is>
          <t>BLEKINGE LÄN</t>
        </is>
      </c>
      <c r="G305" t="inlineStr">
        <is>
          <t>RONNEBY</t>
        </is>
      </c>
      <c r="I305" t="n">
        <v>9.6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45090</v>
      </c>
      <c r="E306" s="1" t="n">
        <v>46263</v>
      </c>
      <c r="F306" t="inlineStr">
        <is>
          <t>BLEKINGE LÄN</t>
        </is>
      </c>
      <c r="G306" t="inlineStr">
        <is>
          <t>RONNEBY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46263</v>
      </c>
      <c r="F307" t="inlineStr">
        <is>
          <t>BLEKINGE LÄN</t>
        </is>
      </c>
      <c r="G307" t="inlineStr">
        <is>
          <t>RONNEBY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44882</v>
      </c>
      <c r="E308" s="1" t="n">
        <v>46263</v>
      </c>
      <c r="F308" t="inlineStr">
        <is>
          <t>BLEKINGE LÄN</t>
        </is>
      </c>
      <c r="G308" t="inlineStr">
        <is>
          <t>RONNEBY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53366-2021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44466</v>
      </c>
      <c r="E309" s="1" t="n">
        <v>46263</v>
      </c>
      <c r="F309" t="inlineStr">
        <is>
          <t>BLEKINGE LÄN</t>
        </is>
      </c>
      <c r="G309" t="inlineStr">
        <is>
          <t>RONNEBY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46263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46263</v>
      </c>
      <c r="F311" t="inlineStr">
        <is>
          <t>BLEKINGE LÄN</t>
        </is>
      </c>
      <c r="G311" t="inlineStr">
        <is>
          <t>RONNEBY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46263</v>
      </c>
      <c r="F312" t="inlineStr">
        <is>
          <t>BLEKINGE LÄN</t>
        </is>
      </c>
      <c r="G312" t="inlineStr">
        <is>
          <t>RONNEBY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46263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46046</v>
      </c>
      <c r="E314" s="1" t="n">
        <v>46263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46263</v>
      </c>
      <c r="F315" t="inlineStr">
        <is>
          <t>BLEKINGE LÄN</t>
        </is>
      </c>
      <c r="G315" t="inlineStr">
        <is>
          <t>RONNEBY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46263</v>
      </c>
      <c r="F316" t="inlineStr">
        <is>
          <t>BLEKINGE LÄN</t>
        </is>
      </c>
      <c r="G316" t="inlineStr">
        <is>
          <t>RONNEBY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46263</v>
      </c>
      <c r="F317" t="inlineStr">
        <is>
          <t>BLEKINGE LÄN</t>
        </is>
      </c>
      <c r="G317" t="inlineStr">
        <is>
          <t>RONNEBY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46263</v>
      </c>
      <c r="F318" t="inlineStr">
        <is>
          <t>BLEKINGE LÄN</t>
        </is>
      </c>
      <c r="G318" t="inlineStr">
        <is>
          <t>RONNEBY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45436</v>
      </c>
      <c r="E319" s="1" t="n">
        <v>46263</v>
      </c>
      <c r="F319" t="inlineStr">
        <is>
          <t>BLEKINGE LÄN</t>
        </is>
      </c>
      <c r="G319" t="inlineStr">
        <is>
          <t>RONNEBY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46263</v>
      </c>
      <c r="F320" t="inlineStr">
        <is>
          <t>BLEKINGE LÄN</t>
        </is>
      </c>
      <c r="G320" t="inlineStr">
        <is>
          <t>RONNEBY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45303</v>
      </c>
      <c r="E321" s="1" t="n">
        <v>46263</v>
      </c>
      <c r="F321" t="inlineStr">
        <is>
          <t>BLEKINGE LÄN</t>
        </is>
      </c>
      <c r="G321" t="inlineStr">
        <is>
          <t>RONNEBY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46263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46263</v>
      </c>
      <c r="F323" t="inlineStr">
        <is>
          <t>BLEKINGE LÄN</t>
        </is>
      </c>
      <c r="G323" t="inlineStr">
        <is>
          <t>RONNEBY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45118</v>
      </c>
      <c r="E324" s="1" t="n">
        <v>46263</v>
      </c>
      <c r="F324" t="inlineStr">
        <is>
          <t>BLEKINGE LÄN</t>
        </is>
      </c>
      <c r="G324" t="inlineStr">
        <is>
          <t>RONNEBY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45341</v>
      </c>
      <c r="E325" s="1" t="n">
        <v>46263</v>
      </c>
      <c r="F325" t="inlineStr">
        <is>
          <t>BLEKINGE LÄN</t>
        </is>
      </c>
      <c r="G325" t="inlineStr">
        <is>
          <t>RONNEBY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46263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45342</v>
      </c>
      <c r="E327" s="1" t="n">
        <v>46263</v>
      </c>
      <c r="F327" t="inlineStr">
        <is>
          <t>BLEKINGE LÄN</t>
        </is>
      </c>
      <c r="G327" t="inlineStr">
        <is>
          <t>RONNEBY</t>
        </is>
      </c>
      <c r="I327" t="n">
        <v>15.2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45139</v>
      </c>
      <c r="E328" s="1" t="n">
        <v>46263</v>
      </c>
      <c r="F328" t="inlineStr">
        <is>
          <t>BLEKINGE LÄN</t>
        </is>
      </c>
      <c r="G328" t="inlineStr">
        <is>
          <t>RONNEBY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45104</v>
      </c>
      <c r="E329" s="1" t="n">
        <v>46263</v>
      </c>
      <c r="F329" t="inlineStr">
        <is>
          <t>BLEKINGE LÄN</t>
        </is>
      </c>
      <c r="G329" t="inlineStr">
        <is>
          <t>RONNEBY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32537-2023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46263</v>
      </c>
      <c r="F330" t="inlineStr">
        <is>
          <t>BLEKINGE LÄN</t>
        </is>
      </c>
      <c r="G330" t="inlineStr">
        <is>
          <t>RONNEBY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46263</v>
      </c>
      <c r="F331" t="inlineStr">
        <is>
          <t>BLEKINGE LÄN</t>
        </is>
      </c>
      <c r="G331" t="inlineStr">
        <is>
          <t>RONNEBY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46263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46263</v>
      </c>
      <c r="F333" t="inlineStr">
        <is>
          <t>BLEKINGE LÄN</t>
        </is>
      </c>
      <c r="G333" t="inlineStr">
        <is>
          <t>RONNEBY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45602</v>
      </c>
      <c r="E334" s="1" t="n">
        <v>46263</v>
      </c>
      <c r="F334" t="inlineStr">
        <is>
          <t>BLEKINGE LÄN</t>
        </is>
      </c>
      <c r="G334" t="inlineStr">
        <is>
          <t>RONNEBY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45062</v>
      </c>
      <c r="E335" s="1" t="n">
        <v>46263</v>
      </c>
      <c r="F335" t="inlineStr">
        <is>
          <t>BLEKINGE LÄN</t>
        </is>
      </c>
      <c r="G335" t="inlineStr">
        <is>
          <t>RONNEBY</t>
        </is>
      </c>
      <c r="H335" t="inlineStr">
        <is>
          <t>Kommuner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44753</v>
      </c>
      <c r="E336" s="1" t="n">
        <v>46263</v>
      </c>
      <c r="F336" t="inlineStr">
        <is>
          <t>BLEKINGE LÄN</t>
        </is>
      </c>
      <c r="G336" t="inlineStr">
        <is>
          <t>RONNEBY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46263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23820-2023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45078</v>
      </c>
      <c r="E338" s="1" t="n">
        <v>46263</v>
      </c>
      <c r="F338" t="inlineStr">
        <is>
          <t>BLEKINGE LÄN</t>
        </is>
      </c>
      <c r="G338" t="inlineStr">
        <is>
          <t>RONNEBY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45429</v>
      </c>
      <c r="E339" s="1" t="n">
        <v>46263</v>
      </c>
      <c r="F339" t="inlineStr">
        <is>
          <t>BLEKINGE LÄN</t>
        </is>
      </c>
      <c r="G339" t="inlineStr">
        <is>
          <t>RONNEBY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46263</v>
      </c>
      <c r="F340" t="inlineStr">
        <is>
          <t>BLEKINGE LÄN</t>
        </is>
      </c>
      <c r="G340" t="inlineStr">
        <is>
          <t>RONNEBY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46263</v>
      </c>
      <c r="F341" t="inlineStr">
        <is>
          <t>BLEKINGE LÄN</t>
        </is>
      </c>
      <c r="G341" t="inlineStr">
        <is>
          <t>RONNEBY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46263</v>
      </c>
      <c r="F342" t="inlineStr">
        <is>
          <t>BLEKINGE LÄN</t>
        </is>
      </c>
      <c r="G342" t="inlineStr">
        <is>
          <t>RONNEBY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46263</v>
      </c>
      <c r="F343" t="inlineStr">
        <is>
          <t>BLEKINGE LÄN</t>
        </is>
      </c>
      <c r="G343" t="inlineStr">
        <is>
          <t>RONNEBY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59840-2021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44494</v>
      </c>
      <c r="E344" s="1" t="n">
        <v>46263</v>
      </c>
      <c r="F344" t="inlineStr">
        <is>
          <t>BLEKINGE LÄN</t>
        </is>
      </c>
      <c r="G344" t="inlineStr">
        <is>
          <t>RONNEBY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46263</v>
      </c>
      <c r="F345" t="inlineStr">
        <is>
          <t>BLEKINGE LÄN</t>
        </is>
      </c>
      <c r="G345" t="inlineStr">
        <is>
          <t>RONNEBY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45104</v>
      </c>
      <c r="E346" s="1" t="n">
        <v>46263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46263</v>
      </c>
      <c r="F347" t="inlineStr">
        <is>
          <t>BLEKINGE LÄN</t>
        </is>
      </c>
      <c r="G347" t="inlineStr">
        <is>
          <t>RONNEBY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46263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46263</v>
      </c>
      <c r="F349" t="inlineStr">
        <is>
          <t>BLEKINGE LÄN</t>
        </is>
      </c>
      <c r="G349" t="inlineStr">
        <is>
          <t>RONNEBY</t>
        </is>
      </c>
      <c r="H349" t="inlineStr">
        <is>
          <t>Övriga Aktiebolag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46263</v>
      </c>
      <c r="F350" t="inlineStr">
        <is>
          <t>BLEKINGE LÄN</t>
        </is>
      </c>
      <c r="G350" t="inlineStr">
        <is>
          <t>RONNEBY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46263</v>
      </c>
      <c r="F351" t="inlineStr">
        <is>
          <t>BLEKINGE LÄN</t>
        </is>
      </c>
      <c r="G351" t="inlineStr">
        <is>
          <t>RONNEBY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46263</v>
      </c>
      <c r="F352" t="inlineStr">
        <is>
          <t>BLEKINGE LÄN</t>
        </is>
      </c>
      <c r="G352" t="inlineStr">
        <is>
          <t>RONNEBY</t>
        </is>
      </c>
      <c r="H352" t="inlineStr">
        <is>
          <t>Kyrkan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45115</v>
      </c>
      <c r="E353" s="1" t="n">
        <v>46263</v>
      </c>
      <c r="F353" t="inlineStr">
        <is>
          <t>BLEKINGE LÄN</t>
        </is>
      </c>
      <c r="G353" t="inlineStr">
        <is>
          <t>RONNEBY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46263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45316</v>
      </c>
      <c r="E355" s="1" t="n">
        <v>46263</v>
      </c>
      <c r="F355" t="inlineStr">
        <is>
          <t>BLEKINGE LÄN</t>
        </is>
      </c>
      <c r="G355" t="inlineStr">
        <is>
          <t>RONNEBY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46263</v>
      </c>
      <c r="F356" t="inlineStr">
        <is>
          <t>BLEKINGE LÄN</t>
        </is>
      </c>
      <c r="G356" t="inlineStr">
        <is>
          <t>RONNEBY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46263</v>
      </c>
      <c r="F357" t="inlineStr">
        <is>
          <t>BLEKINGE LÄN</t>
        </is>
      </c>
      <c r="G357" t="inlineStr">
        <is>
          <t>RONNEBY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10803-2026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46263</v>
      </c>
      <c r="F358" t="inlineStr">
        <is>
          <t>BLEKINGE LÄN</t>
        </is>
      </c>
      <c r="G358" t="inlineStr">
        <is>
          <t>RONNEBY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46078</v>
      </c>
      <c r="E359" s="1" t="n">
        <v>46263</v>
      </c>
      <c r="F359" t="inlineStr">
        <is>
          <t>BLEKINGE LÄN</t>
        </is>
      </c>
      <c r="G359" t="inlineStr">
        <is>
          <t>RONNEBY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46263</v>
      </c>
      <c r="F360" t="inlineStr">
        <is>
          <t>BLEKINGE LÄN</t>
        </is>
      </c>
      <c r="G360" t="inlineStr">
        <is>
          <t>RONNEBY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46263</v>
      </c>
      <c r="F361" t="inlineStr">
        <is>
          <t>BLEKINGE LÄN</t>
        </is>
      </c>
      <c r="G361" t="inlineStr">
        <is>
          <t>RONNEBY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46263</v>
      </c>
      <c r="F362" t="inlineStr">
        <is>
          <t>BLEKINGE LÄN</t>
        </is>
      </c>
      <c r="G362" t="inlineStr">
        <is>
          <t>RONNEBY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46263</v>
      </c>
      <c r="F363" t="inlineStr">
        <is>
          <t>BLEKINGE LÄN</t>
        </is>
      </c>
      <c r="G363" t="inlineStr">
        <is>
          <t>RONNEBY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46263</v>
      </c>
      <c r="F364" t="inlineStr">
        <is>
          <t>BLEKINGE LÄN</t>
        </is>
      </c>
      <c r="G364" t="inlineStr">
        <is>
          <t>RONNEBY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46263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45670</v>
      </c>
      <c r="E366" s="1" t="n">
        <v>46263</v>
      </c>
      <c r="F366" t="inlineStr">
        <is>
          <t>BLEKINGE LÄN</t>
        </is>
      </c>
      <c r="G366" t="inlineStr">
        <is>
          <t>RONNEBY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46086</v>
      </c>
      <c r="E367" s="1" t="n">
        <v>46263</v>
      </c>
      <c r="F367" t="inlineStr">
        <is>
          <t>BLEKINGE LÄN</t>
        </is>
      </c>
      <c r="G367" t="inlineStr">
        <is>
          <t>RONNEBY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47775-2024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46263</v>
      </c>
      <c r="F368" t="inlineStr">
        <is>
          <t>BLEKINGE LÄN</t>
        </is>
      </c>
      <c r="G368" t="inlineStr">
        <is>
          <t>RONNEBY</t>
        </is>
      </c>
      <c r="H368" t="inlineStr">
        <is>
          <t>Kommuner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46263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36202-2024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45534</v>
      </c>
      <c r="E370" s="1" t="n">
        <v>46263</v>
      </c>
      <c r="F370" t="inlineStr">
        <is>
          <t>BLEKINGE LÄN</t>
        </is>
      </c>
      <c r="G370" t="inlineStr">
        <is>
          <t>RONNEBY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45775</v>
      </c>
      <c r="E371" s="1" t="n">
        <v>46263</v>
      </c>
      <c r="F371" t="inlineStr">
        <is>
          <t>BLEKINGE LÄN</t>
        </is>
      </c>
      <c r="G371" t="inlineStr">
        <is>
          <t>RONNEBY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46263</v>
      </c>
      <c r="F372" t="inlineStr">
        <is>
          <t>BLEKINGE LÄN</t>
        </is>
      </c>
      <c r="G372" t="inlineStr">
        <is>
          <t>RONNEBY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46263</v>
      </c>
      <c r="F373" t="inlineStr">
        <is>
          <t>BLEKINGE LÄN</t>
        </is>
      </c>
      <c r="G373" t="inlineStr">
        <is>
          <t>RONNEBY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46263</v>
      </c>
      <c r="F374" t="inlineStr">
        <is>
          <t>BLEKINGE LÄN</t>
        </is>
      </c>
      <c r="G374" t="inlineStr">
        <is>
          <t>RONNEBY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46263</v>
      </c>
      <c r="F375" t="inlineStr">
        <is>
          <t>BLEKINGE LÄN</t>
        </is>
      </c>
      <c r="G375" t="inlineStr">
        <is>
          <t>RONNEBY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46263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46263</v>
      </c>
      <c r="F377" t="inlineStr">
        <is>
          <t>BLEKINGE LÄN</t>
        </is>
      </c>
      <c r="G377" t="inlineStr">
        <is>
          <t>RONNEBY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46263</v>
      </c>
      <c r="F378" t="inlineStr">
        <is>
          <t>BLEKINGE LÄN</t>
        </is>
      </c>
      <c r="G378" t="inlineStr">
        <is>
          <t>RONNEBY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7347-2022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46263</v>
      </c>
      <c r="F379" t="inlineStr">
        <is>
          <t>BLEKINGE LÄN</t>
        </is>
      </c>
      <c r="G379" t="inlineStr">
        <is>
          <t>RONNEBY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41875-2022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44829</v>
      </c>
      <c r="E380" s="1" t="n">
        <v>46263</v>
      </c>
      <c r="F380" t="inlineStr">
        <is>
          <t>BLEKINGE LÄN</t>
        </is>
      </c>
      <c r="G380" t="inlineStr">
        <is>
          <t>RONNEBY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44762</v>
      </c>
      <c r="E381" s="1" t="n">
        <v>46263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15206-2026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46263</v>
      </c>
      <c r="F382" t="inlineStr">
        <is>
          <t>BLEKINGE LÄN</t>
        </is>
      </c>
      <c r="G382" t="inlineStr">
        <is>
          <t>RONNEBY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15095-2026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46263</v>
      </c>
      <c r="F383" t="inlineStr">
        <is>
          <t>BLEKINGE LÄN</t>
        </is>
      </c>
      <c r="G383" t="inlineStr">
        <is>
          <t>RONNEBY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46263</v>
      </c>
      <c r="F384" t="inlineStr">
        <is>
          <t>BLEKINGE LÄN</t>
        </is>
      </c>
      <c r="G384" t="inlineStr">
        <is>
          <t>RONNEBY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44658</v>
      </c>
      <c r="E385" s="1" t="n">
        <v>46263</v>
      </c>
      <c r="F385" t="inlineStr">
        <is>
          <t>BLEKINGE LÄN</t>
        </is>
      </c>
      <c r="G385" t="inlineStr">
        <is>
          <t>RONNEBY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46104</v>
      </c>
      <c r="E386" s="1" t="n">
        <v>46263</v>
      </c>
      <c r="F386" t="inlineStr">
        <is>
          <t>BLEKINGE LÄN</t>
        </is>
      </c>
      <c r="G386" t="inlineStr">
        <is>
          <t>RONNEBY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46263</v>
      </c>
      <c r="F387" t="inlineStr">
        <is>
          <t>BLEKINGE LÄN</t>
        </is>
      </c>
      <c r="G387" t="inlineStr">
        <is>
          <t>RONNEBY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44565</v>
      </c>
      <c r="E388" s="1" t="n">
        <v>46263</v>
      </c>
      <c r="F388" t="inlineStr">
        <is>
          <t>BLEKINGE LÄN</t>
        </is>
      </c>
      <c r="G388" t="inlineStr">
        <is>
          <t>RONNEBY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46263</v>
      </c>
      <c r="F389" t="inlineStr">
        <is>
          <t>BLEKINGE LÄN</t>
        </is>
      </c>
      <c r="G389" t="inlineStr">
        <is>
          <t>RONNEBY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46263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46263</v>
      </c>
      <c r="F391" t="inlineStr">
        <is>
          <t>BLEKINGE LÄN</t>
        </is>
      </c>
      <c r="G391" t="inlineStr">
        <is>
          <t>RONNEBY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46263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46263</v>
      </c>
      <c r="F393" t="inlineStr">
        <is>
          <t>BLEKINGE LÄN</t>
        </is>
      </c>
      <c r="G393" t="inlineStr">
        <is>
          <t>RONNEBY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45440</v>
      </c>
      <c r="E394" s="1" t="n">
        <v>46263</v>
      </c>
      <c r="F394" t="inlineStr">
        <is>
          <t>BLEKINGE LÄN</t>
        </is>
      </c>
      <c r="G394" t="inlineStr">
        <is>
          <t>RONNEBY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45432</v>
      </c>
      <c r="E395" s="1" t="n">
        <v>46263</v>
      </c>
      <c r="F395" t="inlineStr">
        <is>
          <t>BLEKINGE LÄN</t>
        </is>
      </c>
      <c r="G395" t="inlineStr">
        <is>
          <t>RONNEBY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45428</v>
      </c>
      <c r="E396" s="1" t="n">
        <v>46263</v>
      </c>
      <c r="F396" t="inlineStr">
        <is>
          <t>BLEKINGE LÄN</t>
        </is>
      </c>
      <c r="G396" t="inlineStr">
        <is>
          <t>RONNEBY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46263</v>
      </c>
      <c r="F397" t="inlineStr">
        <is>
          <t>BLEKINGE LÄN</t>
        </is>
      </c>
      <c r="G397" t="inlineStr">
        <is>
          <t>RONNEBY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46263</v>
      </c>
      <c r="F398" t="inlineStr">
        <is>
          <t>BLEKINGE LÄN</t>
        </is>
      </c>
      <c r="G398" t="inlineStr">
        <is>
          <t>RONNEBY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46263</v>
      </c>
      <c r="F399" t="inlineStr">
        <is>
          <t>BLEKINGE LÄN</t>
        </is>
      </c>
      <c r="G399" t="inlineStr">
        <is>
          <t>RONNEBY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44586</v>
      </c>
      <c r="E400" s="1" t="n">
        <v>46263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46263</v>
      </c>
      <c r="F401" t="inlineStr">
        <is>
          <t>BLEKINGE LÄN</t>
        </is>
      </c>
      <c r="G401" t="inlineStr">
        <is>
          <t>RONNEBY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44753</v>
      </c>
      <c r="E402" s="1" t="n">
        <v>46263</v>
      </c>
      <c r="F402" t="inlineStr">
        <is>
          <t>BLEKINGE LÄN</t>
        </is>
      </c>
      <c r="G402" t="inlineStr">
        <is>
          <t>RONNEBY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55079-2023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45237</v>
      </c>
      <c r="E403" s="1" t="n">
        <v>46263</v>
      </c>
      <c r="F403" t="inlineStr">
        <is>
          <t>BLEKINGE LÄN</t>
        </is>
      </c>
      <c r="G403" t="inlineStr">
        <is>
          <t>RONNEBY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46263</v>
      </c>
      <c r="F404" t="inlineStr">
        <is>
          <t>BLEKINGE LÄN</t>
        </is>
      </c>
      <c r="G404" t="inlineStr">
        <is>
          <t>RONNEBY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25077-2022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44729</v>
      </c>
      <c r="E405" s="1" t="n">
        <v>46263</v>
      </c>
      <c r="F405" t="inlineStr">
        <is>
          <t>BLEKINGE LÄN</t>
        </is>
      </c>
      <c r="G405" t="inlineStr">
        <is>
          <t>RONNEBY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45246</v>
      </c>
      <c r="E406" s="1" t="n">
        <v>46263</v>
      </c>
      <c r="F406" t="inlineStr">
        <is>
          <t>BLEKINGE LÄN</t>
        </is>
      </c>
      <c r="G406" t="inlineStr">
        <is>
          <t>RONNEBY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54248-2025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45964</v>
      </c>
      <c r="E407" s="1" t="n">
        <v>46263</v>
      </c>
      <c r="F407" t="inlineStr">
        <is>
          <t>BLEKINGE LÄN</t>
        </is>
      </c>
      <c r="G407" t="inlineStr">
        <is>
          <t>RONNEBY</t>
        </is>
      </c>
      <c r="H407" t="inlineStr">
        <is>
          <t>Kommuner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46263</v>
      </c>
      <c r="F408" t="inlineStr">
        <is>
          <t>BLEKINGE LÄN</t>
        </is>
      </c>
      <c r="G408" t="inlineStr">
        <is>
          <t>RONNEBY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45702</v>
      </c>
      <c r="E409" s="1" t="n">
        <v>46263</v>
      </c>
      <c r="F409" t="inlineStr">
        <is>
          <t>BLEKINGE LÄN</t>
        </is>
      </c>
      <c r="G409" t="inlineStr">
        <is>
          <t>RONNEBY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46914-2023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45201</v>
      </c>
      <c r="E410" s="1" t="n">
        <v>46263</v>
      </c>
      <c r="F410" t="inlineStr">
        <is>
          <t>BLEKINGE LÄN</t>
        </is>
      </c>
      <c r="G410" t="inlineStr">
        <is>
          <t>RONNEBY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46263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45821</v>
      </c>
      <c r="E412" s="1" t="n">
        <v>46263</v>
      </c>
      <c r="F412" t="inlineStr">
        <is>
          <t>BLEKINGE LÄN</t>
        </is>
      </c>
      <c r="G412" t="inlineStr">
        <is>
          <t>RONNEBY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11165-2025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45724</v>
      </c>
      <c r="E413" s="1" t="n">
        <v>46263</v>
      </c>
      <c r="F413" t="inlineStr">
        <is>
          <t>BLEKINGE LÄN</t>
        </is>
      </c>
      <c r="G413" t="inlineStr">
        <is>
          <t>RONNEBY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45673</v>
      </c>
      <c r="E414" s="1" t="n">
        <v>46263</v>
      </c>
      <c r="F414" t="inlineStr">
        <is>
          <t>BLEKINGE LÄN</t>
        </is>
      </c>
      <c r="G414" t="inlineStr">
        <is>
          <t>RONNEBY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46263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46263</v>
      </c>
      <c r="F416" t="inlineStr">
        <is>
          <t>BLEKINGE LÄN</t>
        </is>
      </c>
      <c r="G416" t="inlineStr">
        <is>
          <t>RONNEBY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47160-2025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46263</v>
      </c>
      <c r="F417" t="inlineStr">
        <is>
          <t>BLEKINGE LÄN</t>
        </is>
      </c>
      <c r="G417" t="inlineStr">
        <is>
          <t>RONNEBY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41660-2024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45560</v>
      </c>
      <c r="E418" s="1" t="n">
        <v>46263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45440</v>
      </c>
      <c r="E419" s="1" t="n">
        <v>46263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56435-2024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45625</v>
      </c>
      <c r="E420" s="1" t="n">
        <v>46263</v>
      </c>
      <c r="F420" t="inlineStr">
        <is>
          <t>BLEKINGE LÄN</t>
        </is>
      </c>
      <c r="G420" t="inlineStr">
        <is>
          <t>RONNEBY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44992</v>
      </c>
      <c r="E421" s="1" t="n">
        <v>46263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46263</v>
      </c>
      <c r="F422" t="inlineStr">
        <is>
          <t>BLEKINGE LÄN</t>
        </is>
      </c>
      <c r="G422" t="inlineStr">
        <is>
          <t>RONNEBY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45954</v>
      </c>
      <c r="E423" s="1" t="n">
        <v>46263</v>
      </c>
      <c r="F423" t="inlineStr">
        <is>
          <t>BLEKINGE LÄN</t>
        </is>
      </c>
      <c r="G423" t="inlineStr">
        <is>
          <t>RONNEBY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45670</v>
      </c>
      <c r="E424" s="1" t="n">
        <v>46263</v>
      </c>
      <c r="F424" t="inlineStr">
        <is>
          <t>BLEKINGE LÄN</t>
        </is>
      </c>
      <c r="G424" t="inlineStr">
        <is>
          <t>RONNEBY</t>
        </is>
      </c>
      <c r="I424" t="n">
        <v>12.6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45889</v>
      </c>
      <c r="E425" s="1" t="n">
        <v>46263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45195</v>
      </c>
      <c r="E426" s="1" t="n">
        <v>46263</v>
      </c>
      <c r="F426" t="inlineStr">
        <is>
          <t>BLEKINGE LÄN</t>
        </is>
      </c>
      <c r="G426" t="inlineStr">
        <is>
          <t>RONNEBY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45889</v>
      </c>
      <c r="E427" s="1" t="n">
        <v>46263</v>
      </c>
      <c r="F427" t="inlineStr">
        <is>
          <t>BLEKINGE LÄN</t>
        </is>
      </c>
      <c r="G427" t="inlineStr">
        <is>
          <t>RONNEBY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6618-2023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44966</v>
      </c>
      <c r="E428" s="1" t="n">
        <v>46263</v>
      </c>
      <c r="F428" t="inlineStr">
        <is>
          <t>BLEKINGE LÄN</t>
        </is>
      </c>
      <c r="G428" t="inlineStr">
        <is>
          <t>RONNEBY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46263</v>
      </c>
      <c r="F429" t="inlineStr">
        <is>
          <t>BLEKINGE LÄN</t>
        </is>
      </c>
      <c r="G429" t="inlineStr">
        <is>
          <t>RONNEBY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46263</v>
      </c>
      <c r="F430" t="inlineStr">
        <is>
          <t>BLEKINGE LÄN</t>
        </is>
      </c>
      <c r="G430" t="inlineStr">
        <is>
          <t>RONNEBY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45299</v>
      </c>
      <c r="E431" s="1" t="n">
        <v>46263</v>
      </c>
      <c r="F431" t="inlineStr">
        <is>
          <t>BLEKINGE LÄN</t>
        </is>
      </c>
      <c r="G431" t="inlineStr">
        <is>
          <t>RONNEBY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44530-2023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46263</v>
      </c>
      <c r="F432" t="inlineStr">
        <is>
          <t>BLEKINGE LÄN</t>
        </is>
      </c>
      <c r="G432" t="inlineStr">
        <is>
          <t>RONNEBY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45460</v>
      </c>
      <c r="E433" s="1" t="n">
        <v>46263</v>
      </c>
      <c r="F433" t="inlineStr">
        <is>
          <t>BLEKINGE LÄN</t>
        </is>
      </c>
      <c r="G433" t="inlineStr">
        <is>
          <t>RONNEBY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46263</v>
      </c>
      <c r="F434" t="inlineStr">
        <is>
          <t>BLEKINGE LÄN</t>
        </is>
      </c>
      <c r="G434" t="inlineStr">
        <is>
          <t>RONNEBY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45302</v>
      </c>
      <c r="E435" s="1" t="n">
        <v>46263</v>
      </c>
      <c r="F435" t="inlineStr">
        <is>
          <t>BLEKINGE LÄN</t>
        </is>
      </c>
      <c r="G435" t="inlineStr">
        <is>
          <t>RONNEBY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46263</v>
      </c>
      <c r="F436" t="inlineStr">
        <is>
          <t>BLEKINGE LÄN</t>
        </is>
      </c>
      <c r="G436" t="inlineStr">
        <is>
          <t>RONNEBY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45310</v>
      </c>
      <c r="E437" s="1" t="n">
        <v>46263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31218-2024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45503</v>
      </c>
      <c r="E438" s="1" t="n">
        <v>46263</v>
      </c>
      <c r="F438" t="inlineStr">
        <is>
          <t>BLEKINGE LÄN</t>
        </is>
      </c>
      <c r="G438" t="inlineStr">
        <is>
          <t>RONNEBY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46263</v>
      </c>
      <c r="F439" t="inlineStr">
        <is>
          <t>BLEKINGE LÄN</t>
        </is>
      </c>
      <c r="G439" t="inlineStr">
        <is>
          <t>RONNEBY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46263</v>
      </c>
      <c r="F440" t="inlineStr">
        <is>
          <t>BLEKINGE LÄN</t>
        </is>
      </c>
      <c r="G440" t="inlineStr">
        <is>
          <t>RONNEBY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44987</v>
      </c>
      <c r="E441" s="1" t="n">
        <v>46263</v>
      </c>
      <c r="F441" t="inlineStr">
        <is>
          <t>BLEKINGE LÄN</t>
        </is>
      </c>
      <c r="G441" t="inlineStr">
        <is>
          <t>RONNEBY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39838-2025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45891</v>
      </c>
      <c r="E442" s="1" t="n">
        <v>46263</v>
      </c>
      <c r="F442" t="inlineStr">
        <is>
          <t>BLEKINGE LÄN</t>
        </is>
      </c>
      <c r="G442" t="inlineStr">
        <is>
          <t>RONNEBY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39844-2025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45891</v>
      </c>
      <c r="E443" s="1" t="n">
        <v>46263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46263</v>
      </c>
      <c r="F444" t="inlineStr">
        <is>
          <t>BLEKINGE LÄN</t>
        </is>
      </c>
      <c r="G444" t="inlineStr">
        <is>
          <t>RONNEBY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47000-2023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45201</v>
      </c>
      <c r="E445" s="1" t="n">
        <v>46263</v>
      </c>
      <c r="F445" t="inlineStr">
        <is>
          <t>BLEKINGE LÄN</t>
        </is>
      </c>
      <c r="G445" t="inlineStr">
        <is>
          <t>RONNEBY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45071</v>
      </c>
      <c r="E446" s="1" t="n">
        <v>46263</v>
      </c>
      <c r="F446" t="inlineStr">
        <is>
          <t>BLEKINGE LÄN</t>
        </is>
      </c>
      <c r="G446" t="inlineStr">
        <is>
          <t>RONNEBY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45597</v>
      </c>
      <c r="E447" s="1" t="n">
        <v>46263</v>
      </c>
      <c r="F447" t="inlineStr">
        <is>
          <t>BLEKINGE LÄN</t>
        </is>
      </c>
      <c r="G447" t="inlineStr">
        <is>
          <t>RONNEBY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45128</v>
      </c>
      <c r="E448" s="1" t="n">
        <v>46263</v>
      </c>
      <c r="F448" t="inlineStr">
        <is>
          <t>BLEKINGE LÄN</t>
        </is>
      </c>
      <c r="G448" t="inlineStr">
        <is>
          <t>RONNEBY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41665-2024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46263</v>
      </c>
      <c r="F449" t="inlineStr">
        <is>
          <t>BLEKINGE LÄN</t>
        </is>
      </c>
      <c r="G449" t="inlineStr">
        <is>
          <t>RONNEBY</t>
        </is>
      </c>
      <c r="H449" t="inlineStr">
        <is>
          <t>Övriga Aktiebolag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46542-2022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44848</v>
      </c>
      <c r="E450" s="1" t="n">
        <v>46263</v>
      </c>
      <c r="F450" t="inlineStr">
        <is>
          <t>BLEKINGE LÄN</t>
        </is>
      </c>
      <c r="G450" t="inlineStr">
        <is>
          <t>RONNEBY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46263</v>
      </c>
      <c r="F451" t="inlineStr">
        <is>
          <t>BLEKINGE LÄN</t>
        </is>
      </c>
      <c r="G451" t="inlineStr">
        <is>
          <t>RONNEBY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45432</v>
      </c>
      <c r="E452" s="1" t="n">
        <v>46263</v>
      </c>
      <c r="F452" t="inlineStr">
        <is>
          <t>BLEKINGE LÄN</t>
        </is>
      </c>
      <c r="G452" t="inlineStr">
        <is>
          <t>RONNEBY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44956</v>
      </c>
      <c r="E453" s="1" t="n">
        <v>46263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44987</v>
      </c>
      <c r="E454" s="1" t="n">
        <v>46263</v>
      </c>
      <c r="F454" t="inlineStr">
        <is>
          <t>BLEKINGE LÄN</t>
        </is>
      </c>
      <c r="G454" t="inlineStr">
        <is>
          <t>RONNEBY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44987</v>
      </c>
      <c r="E455" s="1" t="n">
        <v>46263</v>
      </c>
      <c r="F455" t="inlineStr">
        <is>
          <t>BLEKINGE LÄN</t>
        </is>
      </c>
      <c r="G455" t="inlineStr">
        <is>
          <t>RONNEBY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26867-2024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45470</v>
      </c>
      <c r="E456" s="1" t="n">
        <v>46263</v>
      </c>
      <c r="F456" t="inlineStr">
        <is>
          <t>BLEKINGE LÄN</t>
        </is>
      </c>
      <c r="G456" t="inlineStr">
        <is>
          <t>RONNEBY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9583-2024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45360</v>
      </c>
      <c r="E457" s="1" t="n">
        <v>46263</v>
      </c>
      <c r="F457" t="inlineStr">
        <is>
          <t>BLEKINGE LÄN</t>
        </is>
      </c>
      <c r="G457" t="inlineStr">
        <is>
          <t>RONNEBY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52614-2023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45225</v>
      </c>
      <c r="E458" s="1" t="n">
        <v>46263</v>
      </c>
      <c r="F458" t="inlineStr">
        <is>
          <t>BLEKINGE LÄN</t>
        </is>
      </c>
      <c r="G458" t="inlineStr">
        <is>
          <t>RONNEBY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46263</v>
      </c>
      <c r="F459" t="inlineStr">
        <is>
          <t>BLEKINGE LÄN</t>
        </is>
      </c>
      <c r="G459" t="inlineStr">
        <is>
          <t>RONNEBY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46263</v>
      </c>
      <c r="F460" t="inlineStr">
        <is>
          <t>BLEKINGE LÄN</t>
        </is>
      </c>
      <c r="G460" t="inlineStr">
        <is>
          <t>RONNEBY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45354</v>
      </c>
      <c r="E461" s="1" t="n">
        <v>46263</v>
      </c>
      <c r="F461" t="inlineStr">
        <is>
          <t>BLEKINGE LÄN</t>
        </is>
      </c>
      <c r="G461" t="inlineStr">
        <is>
          <t>RONNEBY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46263</v>
      </c>
      <c r="F462" t="inlineStr">
        <is>
          <t>BLEKINGE LÄN</t>
        </is>
      </c>
      <c r="G462" t="inlineStr">
        <is>
          <t>RONNEBY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44980</v>
      </c>
      <c r="E463" s="1" t="n">
        <v>46263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64459-2023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46263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61740-2022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44917</v>
      </c>
      <c r="E465" s="1" t="n">
        <v>46263</v>
      </c>
      <c r="F465" t="inlineStr">
        <is>
          <t>BLEKINGE LÄN</t>
        </is>
      </c>
      <c r="G465" t="inlineStr">
        <is>
          <t>RONNEBY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46263</v>
      </c>
      <c r="F466" t="inlineStr">
        <is>
          <t>BLEKINGE LÄN</t>
        </is>
      </c>
      <c r="G466" t="inlineStr">
        <is>
          <t>RONNEBY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44651</v>
      </c>
      <c r="E467" s="1" t="n">
        <v>46263</v>
      </c>
      <c r="F467" t="inlineStr">
        <is>
          <t>BLEKINGE LÄN</t>
        </is>
      </c>
      <c r="G467" t="inlineStr">
        <is>
          <t>RONNEBY</t>
        </is>
      </c>
      <c r="I467" t="n">
        <v>8.300000000000001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46263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45001</v>
      </c>
      <c r="E469" s="1" t="n">
        <v>46263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44945</v>
      </c>
      <c r="E470" s="1" t="n">
        <v>46263</v>
      </c>
      <c r="F470" t="inlineStr">
        <is>
          <t>BLEKINGE LÄN</t>
        </is>
      </c>
      <c r="G470" t="inlineStr">
        <is>
          <t>RONNEBY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11179-2023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44992</v>
      </c>
      <c r="E471" s="1" t="n">
        <v>46263</v>
      </c>
      <c r="F471" t="inlineStr">
        <is>
          <t>BLEKINGE LÄN</t>
        </is>
      </c>
      <c r="G471" t="inlineStr">
        <is>
          <t>RONNEBY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13688-2023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45006</v>
      </c>
      <c r="E472" s="1" t="n">
        <v>46263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46884-2023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45201</v>
      </c>
      <c r="E473" s="1" t="n">
        <v>46263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45195</v>
      </c>
      <c r="E474" s="1" t="n">
        <v>46263</v>
      </c>
      <c r="F474" t="inlineStr">
        <is>
          <t>BLEKINGE LÄN</t>
        </is>
      </c>
      <c r="G474" t="inlineStr">
        <is>
          <t>RONNEBY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45402</v>
      </c>
      <c r="E475" s="1" t="n">
        <v>46263</v>
      </c>
      <c r="F475" t="inlineStr">
        <is>
          <t>BLEKINGE LÄN</t>
        </is>
      </c>
      <c r="G475" t="inlineStr">
        <is>
          <t>RONNEBY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45139</v>
      </c>
      <c r="E476" s="1" t="n">
        <v>46263</v>
      </c>
      <c r="F476" t="inlineStr">
        <is>
          <t>BLEKINGE LÄN</t>
        </is>
      </c>
      <c r="G476" t="inlineStr">
        <is>
          <t>RONNEBY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9685-2022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44617</v>
      </c>
      <c r="E477" s="1" t="n">
        <v>46263</v>
      </c>
      <c r="F477" t="inlineStr">
        <is>
          <t>BLEKINGE LÄN</t>
        </is>
      </c>
      <c r="G477" t="inlineStr">
        <is>
          <t>RONNEBY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44987</v>
      </c>
      <c r="E478" s="1" t="n">
        <v>46263</v>
      </c>
      <c r="F478" t="inlineStr">
        <is>
          <t>BLEKINGE LÄN</t>
        </is>
      </c>
      <c r="G478" t="inlineStr">
        <is>
          <t>RONNEBY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62932-2023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46263</v>
      </c>
      <c r="F479" t="inlineStr">
        <is>
          <t>BLEKINGE LÄN</t>
        </is>
      </c>
      <c r="G479" t="inlineStr">
        <is>
          <t>RONNEBY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46263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46263</v>
      </c>
      <c r="F481" t="inlineStr">
        <is>
          <t>BLEKINGE LÄN</t>
        </is>
      </c>
      <c r="G481" t="inlineStr">
        <is>
          <t>RONNEBY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38090-2024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46263</v>
      </c>
      <c r="F482" t="inlineStr">
        <is>
          <t>BLEKINGE LÄN</t>
        </is>
      </c>
      <c r="G482" t="inlineStr">
        <is>
          <t>RONNEBY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9870-2024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46263</v>
      </c>
      <c r="F483" t="inlineStr">
        <is>
          <t>BLEKINGE LÄN</t>
        </is>
      </c>
      <c r="G483" t="inlineStr">
        <is>
          <t>RONNEBY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45006</v>
      </c>
      <c r="E484" s="1" t="n">
        <v>46263</v>
      </c>
      <c r="F484" t="inlineStr">
        <is>
          <t>BLEKINGE LÄN</t>
        </is>
      </c>
      <c r="G484" t="inlineStr">
        <is>
          <t>RONNEBY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46263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24502-2023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45082</v>
      </c>
      <c r="E486" s="1" t="n">
        <v>46263</v>
      </c>
      <c r="F486" t="inlineStr">
        <is>
          <t>BLEKINGE LÄN</t>
        </is>
      </c>
      <c r="G486" t="inlineStr">
        <is>
          <t>RONNEBY</t>
        </is>
      </c>
      <c r="H486" t="inlineStr">
        <is>
          <t>Kommuner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46263</v>
      </c>
      <c r="F487" t="inlineStr">
        <is>
          <t>BLEKINGE LÄN</t>
        </is>
      </c>
      <c r="G487" t="inlineStr">
        <is>
          <t>RONNEBY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46263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46263</v>
      </c>
      <c r="F489" t="inlineStr">
        <is>
          <t>BLEKINGE LÄN</t>
        </is>
      </c>
      <c r="G489" t="inlineStr">
        <is>
          <t>RONNEBY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45057</v>
      </c>
      <c r="E490" s="1" t="n">
        <v>46263</v>
      </c>
      <c r="F490" t="inlineStr">
        <is>
          <t>BLEKINGE LÄN</t>
        </is>
      </c>
      <c r="G490" t="inlineStr">
        <is>
          <t>RONNEBY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21442-2023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45063</v>
      </c>
      <c r="E491" s="1" t="n">
        <v>46263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28975-2023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45104</v>
      </c>
      <c r="E492" s="1" t="n">
        <v>46263</v>
      </c>
      <c r="F492" t="inlineStr">
        <is>
          <t>BLEKINGE LÄN</t>
        </is>
      </c>
      <c r="G492" t="inlineStr">
        <is>
          <t>RONNEBY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46263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46263</v>
      </c>
      <c r="F494" t="inlineStr">
        <is>
          <t>BLEKINGE LÄN</t>
        </is>
      </c>
      <c r="G494" t="inlineStr">
        <is>
          <t>RONNEBY</t>
        </is>
      </c>
      <c r="H494" t="inlineStr">
        <is>
          <t>Kommuner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46263</v>
      </c>
      <c r="F495" t="inlineStr">
        <is>
          <t>BLEKINGE LÄN</t>
        </is>
      </c>
      <c r="G495" t="inlineStr">
        <is>
          <t>RONNEBY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44974</v>
      </c>
      <c r="E496" s="1" t="n">
        <v>46263</v>
      </c>
      <c r="F496" t="inlineStr">
        <is>
          <t>BLEKINGE LÄN</t>
        </is>
      </c>
      <c r="G496" t="inlineStr">
        <is>
          <t>RONNEBY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50808-2024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45602</v>
      </c>
      <c r="E497" s="1" t="n">
        <v>46263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23888-2022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44722</v>
      </c>
      <c r="E498" s="1" t="n">
        <v>46263</v>
      </c>
      <c r="F498" t="inlineStr">
        <is>
          <t>BLEKINGE LÄN</t>
        </is>
      </c>
      <c r="G498" t="inlineStr">
        <is>
          <t>RONNEBY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45394</v>
      </c>
      <c r="E499" s="1" t="n">
        <v>46263</v>
      </c>
      <c r="F499" t="inlineStr">
        <is>
          <t>BLEKINGE LÄN</t>
        </is>
      </c>
      <c r="G499" t="inlineStr">
        <is>
          <t>RONNEBY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46139</v>
      </c>
      <c r="E500" s="1" t="n">
        <v>46263</v>
      </c>
      <c r="F500" t="inlineStr">
        <is>
          <t>BLEKINGE LÄN</t>
        </is>
      </c>
      <c r="G500" t="inlineStr">
        <is>
          <t>RONNEBY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58552-2022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46263</v>
      </c>
      <c r="F501" t="inlineStr">
        <is>
          <t>BLEKINGE LÄN</t>
        </is>
      </c>
      <c r="G501" t="inlineStr">
        <is>
          <t>RONNEBY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11560-2024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45373</v>
      </c>
      <c r="E502" s="1" t="n">
        <v>46263</v>
      </c>
      <c r="F502" t="inlineStr">
        <is>
          <t>BLEKINGE LÄN</t>
        </is>
      </c>
      <c r="G502" t="inlineStr">
        <is>
          <t>RONNEBY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45359</v>
      </c>
      <c r="E503" s="1" t="n">
        <v>46263</v>
      </c>
      <c r="F503" t="inlineStr">
        <is>
          <t>BLEKINGE LÄN</t>
        </is>
      </c>
      <c r="G503" t="inlineStr">
        <is>
          <t>RONNEBY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9571-2024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45360</v>
      </c>
      <c r="E504" s="1" t="n">
        <v>46263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46263</v>
      </c>
      <c r="F505" t="inlineStr">
        <is>
          <t>BLEKINGE LÄN</t>
        </is>
      </c>
      <c r="G505" t="inlineStr">
        <is>
          <t>RONNEBY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46263</v>
      </c>
      <c r="F506" t="inlineStr">
        <is>
          <t>BLEKINGE LÄN</t>
        </is>
      </c>
      <c r="G506" t="inlineStr">
        <is>
          <t>RONNEBY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46263</v>
      </c>
      <c r="F507" t="inlineStr">
        <is>
          <t>BLEKINGE LÄN</t>
        </is>
      </c>
      <c r="G507" t="inlineStr">
        <is>
          <t>RONNEBY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45053</v>
      </c>
      <c r="E508" s="1" t="n">
        <v>46263</v>
      </c>
      <c r="F508" t="inlineStr">
        <is>
          <t>BLEKINGE LÄN</t>
        </is>
      </c>
      <c r="G508" t="inlineStr">
        <is>
          <t>RONNEBY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45097</v>
      </c>
      <c r="E509" s="1" t="n">
        <v>46263</v>
      </c>
      <c r="F509" t="inlineStr">
        <is>
          <t>BLEKINGE LÄN</t>
        </is>
      </c>
      <c r="G509" t="inlineStr">
        <is>
          <t>RONNEBY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25287-2024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46263</v>
      </c>
      <c r="F510" t="inlineStr">
        <is>
          <t>BLEKINGE LÄN</t>
        </is>
      </c>
      <c r="G510" t="inlineStr">
        <is>
          <t>RONNEBY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46263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45075</v>
      </c>
      <c r="E512" s="1" t="n">
        <v>46263</v>
      </c>
      <c r="F512" t="inlineStr">
        <is>
          <t>BLEKINGE LÄN</t>
        </is>
      </c>
      <c r="G512" t="inlineStr">
        <is>
          <t>RONNEBY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20822-2023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45058</v>
      </c>
      <c r="E513" s="1" t="n">
        <v>46263</v>
      </c>
      <c r="F513" t="inlineStr">
        <is>
          <t>BLEKINGE LÄN</t>
        </is>
      </c>
      <c r="G513" t="inlineStr">
        <is>
          <t>RONNEBY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46263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45402</v>
      </c>
      <c r="E515" s="1" t="n">
        <v>46263</v>
      </c>
      <c r="F515" t="inlineStr">
        <is>
          <t>BLEKINGE LÄN</t>
        </is>
      </c>
      <c r="G515" t="inlineStr">
        <is>
          <t>RONNEBY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45775</v>
      </c>
      <c r="E516" s="1" t="n">
        <v>46263</v>
      </c>
      <c r="F516" t="inlineStr">
        <is>
          <t>BLEKINGE LÄN</t>
        </is>
      </c>
      <c r="G516" t="inlineStr">
        <is>
          <t>RONNEBY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46263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45012</v>
      </c>
      <c r="E518" s="1" t="n">
        <v>46263</v>
      </c>
      <c r="F518" t="inlineStr">
        <is>
          <t>BLEKINGE LÄN</t>
        </is>
      </c>
      <c r="G518" t="inlineStr">
        <is>
          <t>RONNEBY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32162-2022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46263</v>
      </c>
      <c r="F519" t="inlineStr">
        <is>
          <t>BLEKINGE LÄN</t>
        </is>
      </c>
      <c r="G519" t="inlineStr">
        <is>
          <t>RONNEBY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46263</v>
      </c>
      <c r="F520" t="inlineStr">
        <is>
          <t>BLEKINGE LÄN</t>
        </is>
      </c>
      <c r="G520" t="inlineStr">
        <is>
          <t>RONNEBY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46263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9569-2024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45360</v>
      </c>
      <c r="E522" s="1" t="n">
        <v>46263</v>
      </c>
      <c r="F522" t="inlineStr">
        <is>
          <t>BLEKINGE LÄN</t>
        </is>
      </c>
      <c r="G522" t="inlineStr">
        <is>
          <t>RONNEBY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9230-2025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46263</v>
      </c>
      <c r="F523" t="inlineStr">
        <is>
          <t>BLEKINGE LÄN</t>
        </is>
      </c>
      <c r="G523" t="inlineStr">
        <is>
          <t>RONNEBY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12767-2023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45001</v>
      </c>
      <c r="E524" s="1" t="n">
        <v>46263</v>
      </c>
      <c r="F524" t="inlineStr">
        <is>
          <t>BLEKINGE LÄN</t>
        </is>
      </c>
      <c r="G524" t="inlineStr">
        <is>
          <t>RONNEBY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46263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8004-2024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46263</v>
      </c>
      <c r="F526" t="inlineStr">
        <is>
          <t>BLEKINGE LÄN</t>
        </is>
      </c>
      <c r="G526" t="inlineStr">
        <is>
          <t>RONNEBY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45545</v>
      </c>
      <c r="E527" s="1" t="n">
        <v>46263</v>
      </c>
      <c r="F527" t="inlineStr">
        <is>
          <t>BLEKINGE LÄN</t>
        </is>
      </c>
      <c r="G527" t="inlineStr">
        <is>
          <t>RONNEBY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31415-2022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44774</v>
      </c>
      <c r="E528" s="1" t="n">
        <v>46263</v>
      </c>
      <c r="F528" t="inlineStr">
        <is>
          <t>BLEKINGE LÄN</t>
        </is>
      </c>
      <c r="G528" t="inlineStr">
        <is>
          <t>RONNEBY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46263</v>
      </c>
      <c r="F529" t="inlineStr">
        <is>
          <t>BLEKINGE LÄN</t>
        </is>
      </c>
      <c r="G529" t="inlineStr">
        <is>
          <t>RONNEBY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41217-2023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46263</v>
      </c>
      <c r="F530" t="inlineStr">
        <is>
          <t>BLEKINGE LÄN</t>
        </is>
      </c>
      <c r="G530" t="inlineStr">
        <is>
          <t>RONNEBY</t>
        </is>
      </c>
      <c r="I530" t="n">
        <v>9.9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46263</v>
      </c>
      <c r="F531" t="inlineStr">
        <is>
          <t>BLEKINGE LÄN</t>
        </is>
      </c>
      <c r="G531" t="inlineStr">
        <is>
          <t>RONNEBY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46263</v>
      </c>
      <c r="F532" t="inlineStr">
        <is>
          <t>BLEKINGE LÄN</t>
        </is>
      </c>
      <c r="G532" t="inlineStr">
        <is>
          <t>RONNEBY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46263</v>
      </c>
      <c r="F533" t="inlineStr">
        <is>
          <t>BLEKINGE LÄN</t>
        </is>
      </c>
      <c r="G533" t="inlineStr">
        <is>
          <t>RONNEBY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57771-2024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45630</v>
      </c>
      <c r="E534" s="1" t="n">
        <v>46263</v>
      </c>
      <c r="F534" t="inlineStr">
        <is>
          <t>BLEKINGE LÄN</t>
        </is>
      </c>
      <c r="G534" t="inlineStr">
        <is>
          <t>RONNEBY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57773-2024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45630</v>
      </c>
      <c r="E535" s="1" t="n">
        <v>46263</v>
      </c>
      <c r="F535" t="inlineStr">
        <is>
          <t>BLEKINGE LÄN</t>
        </is>
      </c>
      <c r="G535" t="inlineStr">
        <is>
          <t>RONNEBY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46263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59676-2022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44908</v>
      </c>
      <c r="E537" s="1" t="n">
        <v>46263</v>
      </c>
      <c r="F537" t="inlineStr">
        <is>
          <t>BLEKINGE LÄN</t>
        </is>
      </c>
      <c r="G537" t="inlineStr">
        <is>
          <t>RONNEBY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45430</v>
      </c>
      <c r="E538" s="1" t="n">
        <v>46263</v>
      </c>
      <c r="F538" t="inlineStr">
        <is>
          <t>BLEKINGE LÄN</t>
        </is>
      </c>
      <c r="G538" t="inlineStr">
        <is>
          <t>RONNEBY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16684-2024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45408</v>
      </c>
      <c r="E539" s="1" t="n">
        <v>46263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45610</v>
      </c>
      <c r="E540" s="1" t="n">
        <v>46263</v>
      </c>
      <c r="F540" t="inlineStr">
        <is>
          <t>BLEKINGE LÄN</t>
        </is>
      </c>
      <c r="G540" t="inlineStr">
        <is>
          <t>RONNEBY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44973</v>
      </c>
      <c r="E541" s="1" t="n">
        <v>46263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63881-2023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45278</v>
      </c>
      <c r="E542" s="1" t="n">
        <v>46263</v>
      </c>
      <c r="F542" t="inlineStr">
        <is>
          <t>BLEKINGE LÄN</t>
        </is>
      </c>
      <c r="G542" t="inlineStr">
        <is>
          <t>RONNEBY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45019</v>
      </c>
      <c r="E543" s="1" t="n">
        <v>46263</v>
      </c>
      <c r="F543" t="inlineStr">
        <is>
          <t>BLEKINGE LÄN</t>
        </is>
      </c>
      <c r="G543" t="inlineStr">
        <is>
          <t>RONNEBY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46263</v>
      </c>
      <c r="F544" t="inlineStr">
        <is>
          <t>BLEKINGE LÄN</t>
        </is>
      </c>
      <c r="G544" t="inlineStr">
        <is>
          <t>RONNEBY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46263</v>
      </c>
      <c r="F545" t="inlineStr">
        <is>
          <t>BLEKINGE LÄN</t>
        </is>
      </c>
      <c r="G545" t="inlineStr">
        <is>
          <t>RONNEBY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53188-2023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45229</v>
      </c>
      <c r="E546" s="1" t="n">
        <v>46263</v>
      </c>
      <c r="F546" t="inlineStr">
        <is>
          <t>BLEKINGE LÄN</t>
        </is>
      </c>
      <c r="G546" t="inlineStr">
        <is>
          <t>RONNEBY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50352-2024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45600</v>
      </c>
      <c r="E547" s="1" t="n">
        <v>46263</v>
      </c>
      <c r="F547" t="inlineStr">
        <is>
          <t>BLEKINGE LÄN</t>
        </is>
      </c>
      <c r="G547" t="inlineStr">
        <is>
          <t>RONNEBY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45040</v>
      </c>
      <c r="E548" s="1" t="n">
        <v>46263</v>
      </c>
      <c r="F548" t="inlineStr">
        <is>
          <t>BLEKINGE LÄN</t>
        </is>
      </c>
      <c r="G548" t="inlineStr">
        <is>
          <t>RONNEBY</t>
        </is>
      </c>
      <c r="I548" t="n">
        <v>11.5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44950</v>
      </c>
      <c r="E549" s="1" t="n">
        <v>46263</v>
      </c>
      <c r="F549" t="inlineStr">
        <is>
          <t>BLEKINGE LÄN</t>
        </is>
      </c>
      <c r="G549" t="inlineStr">
        <is>
          <t>RONNEBY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45043</v>
      </c>
      <c r="E550" s="1" t="n">
        <v>46263</v>
      </c>
      <c r="F550" t="inlineStr">
        <is>
          <t>BLEKINGE LÄN</t>
        </is>
      </c>
      <c r="G550" t="inlineStr">
        <is>
          <t>RONNEBY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46263</v>
      </c>
      <c r="F551" t="inlineStr">
        <is>
          <t>BLEKINGE LÄN</t>
        </is>
      </c>
      <c r="G551" t="inlineStr">
        <is>
          <t>RONNEBY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46263</v>
      </c>
      <c r="F552" t="inlineStr">
        <is>
          <t>BLEKINGE LÄN</t>
        </is>
      </c>
      <c r="G552" t="inlineStr">
        <is>
          <t>RONNEBY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44972</v>
      </c>
      <c r="E553" s="1" t="n">
        <v>46263</v>
      </c>
      <c r="F553" t="inlineStr">
        <is>
          <t>BLEKINGE LÄN</t>
        </is>
      </c>
      <c r="G553" t="inlineStr">
        <is>
          <t>RONNEBY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46263</v>
      </c>
      <c r="F554" t="inlineStr">
        <is>
          <t>BLEKINGE LÄN</t>
        </is>
      </c>
      <c r="G554" t="inlineStr">
        <is>
          <t>RONNEBY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46263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14429-2024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45394</v>
      </c>
      <c r="E556" s="1" t="n">
        <v>46263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45104</v>
      </c>
      <c r="E557" s="1" t="n">
        <v>46263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46263</v>
      </c>
      <c r="F558" t="inlineStr">
        <is>
          <t>BLEKINGE LÄN</t>
        </is>
      </c>
      <c r="G558" t="inlineStr">
        <is>
          <t>RONNEBY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29077-2023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46263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46263</v>
      </c>
      <c r="F560" t="inlineStr">
        <is>
          <t>BLEKINGE LÄN</t>
        </is>
      </c>
      <c r="G560" t="inlineStr">
        <is>
          <t>RONNEBY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46263</v>
      </c>
      <c r="F561" t="inlineStr">
        <is>
          <t>BLEKINGE LÄN</t>
        </is>
      </c>
      <c r="G561" t="inlineStr">
        <is>
          <t>RONNEBY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31122-2024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45502</v>
      </c>
      <c r="E562" s="1" t="n">
        <v>46263</v>
      </c>
      <c r="F562" t="inlineStr">
        <is>
          <t>BLEKINGE LÄN</t>
        </is>
      </c>
      <c r="G562" t="inlineStr">
        <is>
          <t>RONNEBY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44966</v>
      </c>
      <c r="E563" s="1" t="n">
        <v>46263</v>
      </c>
      <c r="F563" t="inlineStr">
        <is>
          <t>BLEKINGE LÄN</t>
        </is>
      </c>
      <c r="G563" t="inlineStr">
        <is>
          <t>RONNEBY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34888-2024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45527</v>
      </c>
      <c r="E564" s="1" t="n">
        <v>46263</v>
      </c>
      <c r="F564" t="inlineStr">
        <is>
          <t>BLEKINGE LÄN</t>
        </is>
      </c>
      <c r="G564" t="inlineStr">
        <is>
          <t>RONNEBY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46263</v>
      </c>
      <c r="F565" t="inlineStr">
        <is>
          <t>BLEKINGE LÄN</t>
        </is>
      </c>
      <c r="G565" t="inlineStr">
        <is>
          <t>RONNEBY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46263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33535-2025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45841</v>
      </c>
      <c r="E567" s="1" t="n">
        <v>46263</v>
      </c>
      <c r="F567" t="inlineStr">
        <is>
          <t>BLEKINGE LÄN</t>
        </is>
      </c>
      <c r="G567" t="inlineStr">
        <is>
          <t>RONNEBY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46162</v>
      </c>
      <c r="E568" s="1" t="n">
        <v>46263</v>
      </c>
      <c r="F568" t="inlineStr">
        <is>
          <t>BLEKINGE LÄN</t>
        </is>
      </c>
      <c r="G568" t="inlineStr">
        <is>
          <t>RONNEBY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46263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46164</v>
      </c>
      <c r="E570" s="1" t="n">
        <v>46263</v>
      </c>
      <c r="F570" t="inlineStr">
        <is>
          <t>BLEKINGE LÄN</t>
        </is>
      </c>
      <c r="G570" t="inlineStr">
        <is>
          <t>RONNEBY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26644-2022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44739</v>
      </c>
      <c r="E571" s="1" t="n">
        <v>46263</v>
      </c>
      <c r="F571" t="inlineStr">
        <is>
          <t>BLEKINGE LÄN</t>
        </is>
      </c>
      <c r="G571" t="inlineStr">
        <is>
          <t>RONNEBY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46263</v>
      </c>
      <c r="F572" t="inlineStr">
        <is>
          <t>BLEKINGE LÄN</t>
        </is>
      </c>
      <c r="G572" t="inlineStr">
        <is>
          <t>RONNEBY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24245-2026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46263</v>
      </c>
      <c r="F573" t="inlineStr">
        <is>
          <t>BLEKINGE LÄN</t>
        </is>
      </c>
      <c r="G573" t="inlineStr">
        <is>
          <t>RONNEBY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46171</v>
      </c>
      <c r="E574" s="1" t="n">
        <v>46263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46263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46181</v>
      </c>
      <c r="E576" s="1" t="n">
        <v>46263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46263</v>
      </c>
      <c r="F577" t="inlineStr">
        <is>
          <t>BLEKINGE LÄN</t>
        </is>
      </c>
      <c r="G577" t="inlineStr">
        <is>
          <t>RONNEBY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46263</v>
      </c>
      <c r="F578" t="inlineStr">
        <is>
          <t>BLEKINGE LÄN</t>
        </is>
      </c>
      <c r="G578" t="inlineStr">
        <is>
          <t>RONNEBY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46263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46226</v>
      </c>
      <c r="E580" s="1" t="n">
        <v>46263</v>
      </c>
      <c r="F580" t="inlineStr">
        <is>
          <t>BLEKINGE LÄN</t>
        </is>
      </c>
      <c r="G580" t="inlineStr">
        <is>
          <t>RONNEBY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31761-2026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46229</v>
      </c>
      <c r="E581" s="1" t="n">
        <v>46263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26706-2026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46263</v>
      </c>
      <c r="F582" t="inlineStr">
        <is>
          <t>BLEKINGE LÄN</t>
        </is>
      </c>
      <c r="G582" t="inlineStr">
        <is>
          <t>RONNEBY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26779-2026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46184</v>
      </c>
      <c r="E583" s="1" t="n">
        <v>46263</v>
      </c>
      <c r="F583" t="inlineStr">
        <is>
          <t>BLEKINGE LÄN</t>
        </is>
      </c>
      <c r="G583" t="inlineStr">
        <is>
          <t>RONNEBY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46263</v>
      </c>
      <c r="F584" t="inlineStr">
        <is>
          <t>BLEKINGE LÄN</t>
        </is>
      </c>
      <c r="G584" t="inlineStr">
        <is>
          <t>RONNEBY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45317-2025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45921</v>
      </c>
      <c r="E585" s="1" t="n">
        <v>46263</v>
      </c>
      <c r="F585" t="inlineStr">
        <is>
          <t>BLEKINGE LÄN</t>
        </is>
      </c>
      <c r="G585" t="inlineStr">
        <is>
          <t>RONNEBY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28732-2026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46198</v>
      </c>
      <c r="E586" s="1" t="n">
        <v>46263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29648-2026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46263</v>
      </c>
      <c r="F587" t="inlineStr">
        <is>
          <t>BLEKINGE LÄN</t>
        </is>
      </c>
      <c r="G587" t="inlineStr">
        <is>
          <t>RONNEBY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46263</v>
      </c>
      <c r="F588" t="inlineStr">
        <is>
          <t>BLEKINGE LÄN</t>
        </is>
      </c>
      <c r="G588" t="inlineStr">
        <is>
          <t>RONNEBY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46263</v>
      </c>
      <c r="F589" t="inlineStr">
        <is>
          <t>BLEKINGE LÄN</t>
        </is>
      </c>
      <c r="G589" t="inlineStr">
        <is>
          <t>RONNEBY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46263</v>
      </c>
      <c r="F590" t="inlineStr">
        <is>
          <t>BLEKINGE LÄN</t>
        </is>
      </c>
      <c r="G590" t="inlineStr">
        <is>
          <t>RONNEBY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46263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46263</v>
      </c>
      <c r="F592" t="inlineStr">
        <is>
          <t>BLEKINGE LÄN</t>
        </is>
      </c>
      <c r="G592" t="inlineStr">
        <is>
          <t>RONNEBY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33519-2026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46248</v>
      </c>
      <c r="E593" s="1" t="n">
        <v>46263</v>
      </c>
      <c r="F593" t="inlineStr">
        <is>
          <t>BLEKINGE LÄN</t>
        </is>
      </c>
      <c r="G593" t="inlineStr">
        <is>
          <t>RONNEBY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46263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46252</v>
      </c>
      <c r="E595" s="1" t="n">
        <v>46263</v>
      </c>
      <c r="F595" t="inlineStr">
        <is>
          <t>BLEKINGE LÄN</t>
        </is>
      </c>
      <c r="G595" t="inlineStr">
        <is>
          <t>RONNEBY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30407-2026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46263</v>
      </c>
      <c r="F596" t="inlineStr">
        <is>
          <t>BLEKINGE LÄN</t>
        </is>
      </c>
      <c r="G596" t="inlineStr">
        <is>
          <t>RONNEBY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46263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34160-2026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46253</v>
      </c>
      <c r="E598" s="1" t="n">
        <v>46263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46210</v>
      </c>
      <c r="E599" s="1" t="n">
        <v>46263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46210</v>
      </c>
      <c r="E600" s="1" t="n">
        <v>46263</v>
      </c>
      <c r="F600" t="inlineStr">
        <is>
          <t>BLEKINGE LÄN</t>
        </is>
      </c>
      <c r="G600" t="inlineStr">
        <is>
          <t>RONNEBY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46263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46263</v>
      </c>
      <c r="F602" t="inlineStr">
        <is>
          <t>BLEKINGE LÄN</t>
        </is>
      </c>
      <c r="G602" t="inlineStr">
        <is>
          <t>RONNEBY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46263</v>
      </c>
      <c r="F603" t="inlineStr">
        <is>
          <t>BLEKINGE LÄN</t>
        </is>
      </c>
      <c r="G603" t="inlineStr">
        <is>
          <t>RONNEBY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46263</v>
      </c>
      <c r="F604" t="inlineStr">
        <is>
          <t>BLEKINGE LÄN</t>
        </is>
      </c>
      <c r="G604" t="inlineStr">
        <is>
          <t>RONNEBY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46263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46263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46263</v>
      </c>
      <c r="F607" t="inlineStr">
        <is>
          <t>BLEKINGE LÄN</t>
        </is>
      </c>
      <c r="G607" t="inlineStr">
        <is>
          <t>RONNEBY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46263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46218</v>
      </c>
      <c r="E609" s="1" t="n">
        <v>46263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46263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7454-2021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44474</v>
      </c>
      <c r="E611" s="1" t="n">
        <v>46263</v>
      </c>
      <c r="F611" t="inlineStr">
        <is>
          <t>BLEKINGE LÄN</t>
        </is>
      </c>
      <c r="G611" t="inlineStr">
        <is>
          <t>RONNEBY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4024-2022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44755</v>
      </c>
      <c r="E612" s="1" t="n">
        <v>46263</v>
      </c>
      <c r="F612" t="inlineStr">
        <is>
          <t>BLEKINGE LÄN</t>
        </is>
      </c>
      <c r="G612" t="inlineStr">
        <is>
          <t>RONNEBY</t>
        </is>
      </c>
      <c r="I612" t="n">
        <v>13.5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949-2022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44608</v>
      </c>
      <c r="E613" s="1" t="n">
        <v>46263</v>
      </c>
      <c r="F613" t="inlineStr">
        <is>
          <t>BLEKINGE LÄN</t>
        </is>
      </c>
      <c r="G613" t="inlineStr">
        <is>
          <t>RONNEBY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749-2023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44986</v>
      </c>
      <c r="E614" s="1" t="n">
        <v>46263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7948-2021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44483</v>
      </c>
      <c r="E615" s="1" t="n">
        <v>46263</v>
      </c>
      <c r="F615" t="inlineStr">
        <is>
          <t>BLEKINGE LÄN</t>
        </is>
      </c>
      <c r="G615" t="inlineStr">
        <is>
          <t>RONNEBY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5856-2021</t>
        </is>
      </c>
      <c r="B616" t="inlineStr">
        <is>
          <t>samrådsanmälan</t>
        </is>
      </c>
      <c r="C616" t="inlineStr">
        <is>
          <t>Basväg</t>
        </is>
      </c>
      <c r="D616" s="1" t="n">
        <v>44439</v>
      </c>
      <c r="E616" s="1" t="n">
        <v>46263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46263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46263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46263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46263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46263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46263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46263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46263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46263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46263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46263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46263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2026-08-29T01:51:54Z</dcterms:created>
  <dcterms:modified xmlns:dcterms="http://purl.org/dc/terms/" xmlns:xsi="http://www.w3.org/2001/XMLSchema-instance" xsi:type="dcterms:W3CDTF">2026-08-29T01:51:54Z</dcterms:modified>
</cp:coreProperties>
</file>