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Rosa lundlav
Ekskinn
Fällmossa
Guldlockmossa
Lönnlav</t>
        </is>
      </c>
      <c r="V7">
        <f>HYPERLINK("https://klasma.github.io/Logging_1081/artfynd/A 28588-2023 artfynd.xlsx", "A 28588-2023")</f>
        <v/>
      </c>
      <c r="W7">
        <f>HYPERLINK("https://klasma.github.io/Logging_1081/kartor/A 28588-2023 karta.png", "A 28588-2023")</f>
        <v/>
      </c>
      <c r="Y7">
        <f>HYPERLINK("https://klasma.github.io/Logging_1081/klagomål/A 28588-2023 FSC-klagomål.docx", "A 28588-2023")</f>
        <v/>
      </c>
      <c r="Z7">
        <f>HYPERLINK("https://klasma.github.io/Logging_1081/klagomålsmail/A 28588-2023 FSC-klagomål mail.docx", "A 28588-2023")</f>
        <v/>
      </c>
      <c r="AA7">
        <f>HYPERLINK("https://klasma.github.io/Logging_1081/tillsyn/A 28588-2023 tillsynsbegäran.docx", "A 28588-2023")</f>
        <v/>
      </c>
      <c r="AB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46221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s="2" t="inlineStr">
        <is>
          <t>Sandödla
Grönhjon
Molnfläcksbock
Ekoxe
Blåsippa</t>
        </is>
      </c>
      <c r="V8">
        <f>HYPERLINK("https://klasma.github.io/Logging_1081/artfynd/A 26956-2023 artfynd.xlsx", "A 26956-2023")</f>
        <v/>
      </c>
      <c r="W8">
        <f>HYPERLINK("https://klasma.github.io/Logging_1081/kartor/A 26956-2023 karta.png", "A 26956-2023")</f>
        <v/>
      </c>
      <c r="Y8">
        <f>HYPERLINK("https://klasma.github.io/Logging_1081/klagomål/A 26956-2023 FSC-klagomål.docx", "A 26956-2023")</f>
        <v/>
      </c>
      <c r="Z8">
        <f>HYPERLINK("https://klasma.github.io/Logging_1081/klagomålsmail/A 26956-2023 FSC-klagomål mail.docx", "A 26956-2023")</f>
        <v/>
      </c>
      <c r="AA8">
        <f>HYPERLINK("https://klasma.github.io/Logging_1081/tillsyn/A 26956-2023 tillsynsbegäran.docx", "A 26956-2023")</f>
        <v/>
      </c>
      <c r="AB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46221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Y9">
        <f>HYPERLINK("https://klasma.github.io/Logging_1081/klagomål/A 27128-2024 FSC-klagomål.docx", "A 27128-2024")</f>
        <v/>
      </c>
      <c r="Z9">
        <f>HYPERLINK("https://klasma.github.io/Logging_1081/klagomålsmail/A 27128-2024 FSC-klagomål mail.docx", "A 27128-2024")</f>
        <v/>
      </c>
      <c r="AA9">
        <f>HYPERLINK("https://klasma.github.io/Logging_1081/tillsyn/A 27128-2024 tillsynsbegäran.docx", "A 27128-2024")</f>
        <v/>
      </c>
      <c r="AB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46221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46221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Puderfläck
Fällmossa
Rostfläck
Blåsippa</t>
        </is>
      </c>
      <c r="V11">
        <f>HYPERLINK("https://klasma.github.io/Logging_1081/artfynd/A 30508-2022 artfynd.xlsx", "A 30508-2022")</f>
        <v/>
      </c>
      <c r="W11">
        <f>HYPERLINK("https://klasma.github.io/Logging_1081/kartor/A 30508-2022 karta.png", "A 30508-2022")</f>
        <v/>
      </c>
      <c r="Y11">
        <f>HYPERLINK("https://klasma.github.io/Logging_1081/klagomål/A 30508-2022 FSC-klagomål.docx", "A 30508-2022")</f>
        <v/>
      </c>
      <c r="Z11">
        <f>HYPERLINK("https://klasma.github.io/Logging_1081/klagomålsmail/A 30508-2022 FSC-klagomål mail.docx", "A 30508-2022")</f>
        <v/>
      </c>
      <c r="AA11">
        <f>HYPERLINK("https://klasma.github.io/Logging_1081/tillsyn/A 30508-2022 tillsynsbegäran.docx", "A 30508-2022")</f>
        <v/>
      </c>
      <c r="AB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Ekpricklav
Oxtungssvamp
Havstulpanlav
Rostfläck</t>
        </is>
      </c>
      <c r="V12">
        <f>HYPERLINK("https://klasma.github.io/Logging_1081/artfynd/A 48900-2024 artfynd.xlsx", "A 48900-2024")</f>
        <v/>
      </c>
      <c r="W12">
        <f>HYPERLINK("https://klasma.github.io/Logging_1081/kartor/A 48900-2024 karta.png", "A 48900-2024")</f>
        <v/>
      </c>
      <c r="Y12">
        <f>HYPERLINK("https://klasma.github.io/Logging_1081/klagomål/A 48900-2024 FSC-klagomål.docx", "A 48900-2024")</f>
        <v/>
      </c>
      <c r="Z12">
        <f>HYPERLINK("https://klasma.github.io/Logging_1081/klagomålsmail/A 48900-2024 FSC-klagomål mail.docx", "A 48900-2024")</f>
        <v/>
      </c>
      <c r="AA12">
        <f>HYPERLINK("https://klasma.github.io/Logging_1081/tillsyn/A 48900-2024 tillsynsbegäran.docx", "A 48900-2024")</f>
        <v/>
      </c>
      <c r="AB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46221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46221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46221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s="2" t="inlineStr">
        <is>
          <t>Ask
Blåmossa
Grå skärelav</t>
        </is>
      </c>
      <c r="V16">
        <f>HYPERLINK("https://klasma.github.io/Logging_1081/artfynd/A 9449-2026 artfynd.xlsx", "A 9449-2026")</f>
        <v/>
      </c>
      <c r="W16">
        <f>HYPERLINK("https://klasma.github.io/Logging_1081/kartor/A 9449-2026 karta.png", "A 9449-2026")</f>
        <v/>
      </c>
      <c r="Y16">
        <f>HYPERLINK("https://klasma.github.io/Logging_1081/klagomål/A 9449-2026 FSC-klagomål.docx", "A 9449-2026")</f>
        <v/>
      </c>
      <c r="Z16">
        <f>HYPERLINK("https://klasma.github.io/Logging_1081/klagomålsmail/A 9449-2026 FSC-klagomål mail.docx", "A 9449-2026")</f>
        <v/>
      </c>
      <c r="AA16">
        <f>HYPERLINK("https://klasma.github.io/Logging_1081/tillsyn/A 9449-2026 tillsynsbegäran.docx", "A 9449-2026")</f>
        <v/>
      </c>
      <c r="AB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46221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s="2" t="inlineStr">
        <is>
          <t>Ask
Flikros
Ekoxe</t>
        </is>
      </c>
      <c r="V17">
        <f>HYPERLINK("https://klasma.github.io/Logging_1081/artfynd/A 55925-2025 artfynd.xlsx", "A 55925-2025")</f>
        <v/>
      </c>
      <c r="W17">
        <f>HYPERLINK("https://klasma.github.io/Logging_1081/kartor/A 55925-2025 karta.png", "A 55925-2025")</f>
        <v/>
      </c>
      <c r="Y17">
        <f>HYPERLINK("https://klasma.github.io/Logging_1081/klagomål/A 55925-2025 FSC-klagomål.docx", "A 55925-2025")</f>
        <v/>
      </c>
      <c r="Z17">
        <f>HYPERLINK("https://klasma.github.io/Logging_1081/klagomålsmail/A 55925-2025 FSC-klagomål mail.docx", "A 55925-2025")</f>
        <v/>
      </c>
      <c r="AA17">
        <f>HYPERLINK("https://klasma.github.io/Logging_1081/tillsyn/A 55925-2025 tillsynsbegäran.docx", "A 55925-2025")</f>
        <v/>
      </c>
      <c r="AB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46221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46221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46221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Blåmossa
Pudrad kärrtrollslända</t>
        </is>
      </c>
      <c r="V20">
        <f>HYPERLINK("https://klasma.github.io/Logging_1081/artfynd/A 38918-2025 artfynd.xlsx", "A 38918-2025")</f>
        <v/>
      </c>
      <c r="W20">
        <f>HYPERLINK("https://klasma.github.io/Logging_1081/kartor/A 38918-2025 karta.png", "A 38918-2025")</f>
        <v/>
      </c>
      <c r="Y20">
        <f>HYPERLINK("https://klasma.github.io/Logging_1081/klagomål/A 38918-2025 FSC-klagomål.docx", "A 38918-2025")</f>
        <v/>
      </c>
      <c r="Z20">
        <f>HYPERLINK("https://klasma.github.io/Logging_1081/klagomålsmail/A 38918-2025 FSC-klagomål mail.docx", "A 38918-2025")</f>
        <v/>
      </c>
      <c r="AA20">
        <f>HYPERLINK("https://klasma.github.io/Logging_1081/tillsyn/A 38918-2025 tillsynsbegäran.docx", "A 38918-2025")</f>
        <v/>
      </c>
      <c r="AB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46221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Klippfrullania</t>
        </is>
      </c>
      <c r="V21">
        <f>HYPERLINK("https://klasma.github.io/Logging_1081/artfynd/A 14625-2022 artfynd.xlsx", "A 14625-2022")</f>
        <v/>
      </c>
      <c r="W21">
        <f>HYPERLINK("https://klasma.github.io/Logging_1081/kartor/A 14625-2022 karta.png", "A 14625-2022")</f>
        <v/>
      </c>
      <c r="Y21">
        <f>HYPERLINK("https://klasma.github.io/Logging_1081/klagomål/A 14625-2022 FSC-klagomål.docx", "A 14625-2022")</f>
        <v/>
      </c>
      <c r="Z21">
        <f>HYPERLINK("https://klasma.github.io/Logging_1081/klagomålsmail/A 14625-2022 FSC-klagomål mail.docx", "A 14625-2022")</f>
        <v/>
      </c>
      <c r="AA21">
        <f>HYPERLINK("https://klasma.github.io/Logging_1081/tillsyn/A 14625-2022 tillsynsbegäran.docx", "A 14625-2022")</f>
        <v/>
      </c>
      <c r="AB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46221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Svarthakad buskskvätta
Trana</t>
        </is>
      </c>
      <c r="V22">
        <f>HYPERLINK("https://klasma.github.io/Logging_1081/artfynd/A 12131-2023 artfynd.xlsx", "A 12131-2023")</f>
        <v/>
      </c>
      <c r="W22">
        <f>HYPERLINK("https://klasma.github.io/Logging_1081/kartor/A 12131-2023 karta.png", "A 12131-2023")</f>
        <v/>
      </c>
      <c r="Y22">
        <f>HYPERLINK("https://klasma.github.io/Logging_1081/klagomål/A 12131-2023 FSC-klagomål.docx", "A 12131-2023")</f>
        <v/>
      </c>
      <c r="Z22">
        <f>HYPERLINK("https://klasma.github.io/Logging_1081/klagomålsmail/A 12131-2023 FSC-klagomål mail.docx", "A 12131-2023")</f>
        <v/>
      </c>
      <c r="AA22">
        <f>HYPERLINK("https://klasma.github.io/Logging_1081/tillsyn/A 12131-2023 tillsynsbegäran.docx", "A 12131-2023")</f>
        <v/>
      </c>
      <c r="AB22">
        <f>HYPERLINK("https://klasma.github.io/Logging_1081/tillsynsmail/A 12131-2023 tillsynsbegäran mail.docx", "A 12131-2023")</f>
        <v/>
      </c>
      <c r="AC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46221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Kungsfågel
Röd glada</t>
        </is>
      </c>
      <c r="V23">
        <f>HYPERLINK("https://klasma.github.io/Logging_1081/artfynd/A 55678-2022 artfynd.xlsx", "A 55678-2022")</f>
        <v/>
      </c>
      <c r="W23">
        <f>HYPERLINK("https://klasma.github.io/Logging_1081/kartor/A 55678-2022 karta.png", "A 55678-2022")</f>
        <v/>
      </c>
      <c r="Y23">
        <f>HYPERLINK("https://klasma.github.io/Logging_1081/klagomål/A 55678-2022 FSC-klagomål.docx", "A 55678-2022")</f>
        <v/>
      </c>
      <c r="Z23">
        <f>HYPERLINK("https://klasma.github.io/Logging_1081/klagomålsmail/A 55678-2022 FSC-klagomål mail.docx", "A 55678-2022")</f>
        <v/>
      </c>
      <c r="AA23">
        <f>HYPERLINK("https://klasma.github.io/Logging_1081/tillsyn/A 55678-2022 tillsynsbegäran.docx", "A 55678-2022")</f>
        <v/>
      </c>
      <c r="AB23">
        <f>HYPERLINK("https://klasma.github.io/Logging_1081/tillsynsmail/A 55678-2022 tillsynsbegäran mail.docx", "A 55678-2022")</f>
        <v/>
      </c>
      <c r="AC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46221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s="2" t="inlineStr">
        <is>
          <t>Murgröna
Rostfläck</t>
        </is>
      </c>
      <c r="V24">
        <f>HYPERLINK("https://klasma.github.io/Logging_1081/artfynd/A 36463-2023 artfynd.xlsx", "A 36463-2023")</f>
        <v/>
      </c>
      <c r="W24">
        <f>HYPERLINK("https://klasma.github.io/Logging_1081/kartor/A 36463-2023 karta.png", "A 36463-2023")</f>
        <v/>
      </c>
      <c r="Y24">
        <f>HYPERLINK("https://klasma.github.io/Logging_1081/klagomål/A 36463-2023 FSC-klagomål.docx", "A 36463-2023")</f>
        <v/>
      </c>
      <c r="Z24">
        <f>HYPERLINK("https://klasma.github.io/Logging_1081/klagomålsmail/A 36463-2023 FSC-klagomål mail.docx", "A 36463-2023")</f>
        <v/>
      </c>
      <c r="AA24">
        <f>HYPERLINK("https://klasma.github.io/Logging_1081/tillsyn/A 36463-2023 tillsynsbegäran.docx", "A 36463-2023")</f>
        <v/>
      </c>
      <c r="AB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46221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Grå taggsvamp
Tjockfotad fingersvamp</t>
        </is>
      </c>
      <c r="V25">
        <f>HYPERLINK("https://klasma.github.io/Logging_1081/artfynd/A 47800-2024 artfynd.xlsx", "A 47800-2024")</f>
        <v/>
      </c>
      <c r="W25">
        <f>HYPERLINK("https://klasma.github.io/Logging_1081/kartor/A 47800-2024 karta.png", "A 47800-2024")</f>
        <v/>
      </c>
      <c r="Y25">
        <f>HYPERLINK("https://klasma.github.io/Logging_1081/klagomål/A 47800-2024 FSC-klagomål.docx", "A 47800-2024")</f>
        <v/>
      </c>
      <c r="Z25">
        <f>HYPERLINK("https://klasma.github.io/Logging_1081/klagomålsmail/A 47800-2024 FSC-klagomål mail.docx", "A 47800-2024")</f>
        <v/>
      </c>
      <c r="AA25">
        <f>HYPERLINK("https://klasma.github.io/Logging_1081/tillsyn/A 47800-2024 tillsynsbegäran.docx", "A 47800-2024")</f>
        <v/>
      </c>
      <c r="AB25">
        <f>HYPERLINK("https://klasma.github.io/Logging_1081/tillsynsmail/A 47800-2024 tillsynsbegäran mail.docx", "A 47800-2024")</f>
        <v/>
      </c>
    </row>
    <row r="26" ht="15" customHeight="1">
      <c r="A26" t="inlineStr">
        <is>
          <t>A 27307-2026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46188</v>
      </c>
      <c r="E26" s="1" t="n">
        <v>46221</v>
      </c>
      <c r="F26" t="inlineStr">
        <is>
          <t>BLEKINGE LÄN</t>
        </is>
      </c>
      <c r="G26" t="inlineStr">
        <is>
          <t>RONNEBY</t>
        </is>
      </c>
      <c r="I26" t="n">
        <v>4.2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Ekskinn
Noshornsoxe</t>
        </is>
      </c>
      <c r="V26">
        <f>HYPERLINK("https://klasma.github.io/Logging_1081/artfynd/A 27307-2026 artfynd.xlsx", "A 27307-2026")</f>
        <v/>
      </c>
      <c r="W26">
        <f>HYPERLINK("https://klasma.github.io/Logging_1081/kartor/A 27307-2026 karta.png", "A 27307-2026")</f>
        <v/>
      </c>
      <c r="Y26">
        <f>HYPERLINK("https://klasma.github.io/Logging_1081/klagomål/A 27307-2026 FSC-klagomål.docx", "A 27307-2026")</f>
        <v/>
      </c>
      <c r="Z26">
        <f>HYPERLINK("https://klasma.github.io/Logging_1081/klagomålsmail/A 27307-2026 FSC-klagomål mail.docx", "A 27307-2026")</f>
        <v/>
      </c>
      <c r="AA26">
        <f>HYPERLINK("https://klasma.github.io/Logging_1081/tillsyn/A 27307-2026 tillsynsbegäran.docx", "A 27307-2026")</f>
        <v/>
      </c>
      <c r="AB26">
        <f>HYPERLINK("https://klasma.github.io/Logging_1081/tillsynsmail/A 27307-2026 tillsynsbegäran mail.docx", "A 27307-2026")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46221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Oxtungssvamp
Sotlav</t>
        </is>
      </c>
      <c r="V27">
        <f>HYPERLINK("https://klasma.github.io/Logging_1081/artfynd/A 14351-2025 artfynd.xlsx", "A 14351-2025")</f>
        <v/>
      </c>
      <c r="W27">
        <f>HYPERLINK("https://klasma.github.io/Logging_1081/kartor/A 14351-2025 karta.png", "A 14351-2025")</f>
        <v/>
      </c>
      <c r="Y27">
        <f>HYPERLINK("https://klasma.github.io/Logging_1081/klagomål/A 14351-2025 FSC-klagomål.docx", "A 14351-2025")</f>
        <v/>
      </c>
      <c r="Z27">
        <f>HYPERLINK("https://klasma.github.io/Logging_1081/klagomålsmail/A 14351-2025 FSC-klagomål mail.docx", "A 14351-2025")</f>
        <v/>
      </c>
      <c r="AA27">
        <f>HYPERLINK("https://klasma.github.io/Logging_1081/tillsyn/A 14351-2025 tillsynsbegäran.docx", "A 14351-2025")</f>
        <v/>
      </c>
      <c r="AB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46221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46221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Y29">
        <f>HYPERLINK("https://klasma.github.io/Logging_1081/klagomål/A 43246-2021 FSC-klagomål.docx", "A 43246-2021")</f>
        <v/>
      </c>
      <c r="Z29">
        <f>HYPERLINK("https://klasma.github.io/Logging_1081/klagomålsmail/A 43246-2021 FSC-klagomål mail.docx", "A 43246-2021")</f>
        <v/>
      </c>
      <c r="AA29">
        <f>HYPERLINK("https://klasma.github.io/Logging_1081/tillsyn/A 43246-2021 tillsynsbegäran.docx", "A 43246-2021")</f>
        <v/>
      </c>
      <c r="AB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46221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Y30">
        <f>HYPERLINK("https://klasma.github.io/Logging_1081/klagomål/A 15071-2022 FSC-klagomål.docx", "A 15071-2022")</f>
        <v/>
      </c>
      <c r="Z30">
        <f>HYPERLINK("https://klasma.github.io/Logging_1081/klagomålsmail/A 15071-2022 FSC-klagomål mail.docx", "A 15071-2022")</f>
        <v/>
      </c>
      <c r="AA30">
        <f>HYPERLINK("https://klasma.github.io/Logging_1081/tillsyn/A 15071-2022 tillsynsbegäran.docx", "A 15071-2022")</f>
        <v/>
      </c>
      <c r="AB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46221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46221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46221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Y33">
        <f>HYPERLINK("https://klasma.github.io/Logging_1081/klagomål/A 32159-2022 FSC-klagomål.docx", "A 32159-2022")</f>
        <v/>
      </c>
      <c r="Z33">
        <f>HYPERLINK("https://klasma.github.io/Logging_1081/klagomålsmail/A 32159-2022 FSC-klagomål mail.docx", "A 32159-2022")</f>
        <v/>
      </c>
      <c r="AA33">
        <f>HYPERLINK("https://klasma.github.io/Logging_1081/tillsyn/A 32159-2022 tillsynsbegäran.docx", "A 32159-2022")</f>
        <v/>
      </c>
      <c r="AB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46221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HYPERLINK("https://klasma.github.io/Logging_1081/artfynd/A 5571-2023 artfynd.xlsx", "A 5571-2023")</f>
        <v/>
      </c>
      <c r="W34">
        <f>HYPERLINK("https://klasma.github.io/Logging_1081/kartor/A 5571-2023 karta.png", "A 5571-2023")</f>
        <v/>
      </c>
      <c r="Y34">
        <f>HYPERLINK("https://klasma.github.io/Logging_1081/klagomål/A 5571-2023 FSC-klagomål.docx", "A 5571-2023")</f>
        <v/>
      </c>
      <c r="Z34">
        <f>HYPERLINK("https://klasma.github.io/Logging_1081/klagomålsmail/A 5571-2023 FSC-klagomål mail.docx", "A 5571-2023")</f>
        <v/>
      </c>
      <c r="AA34">
        <f>HYPERLINK("https://klasma.github.io/Logging_1081/tillsyn/A 5571-2023 tillsynsbegäran.docx", "A 5571-2023")</f>
        <v/>
      </c>
      <c r="AB34">
        <f>HYPERLINK("https://klasma.github.io/Logging_1081/tillsynsmail/A 5571-2023 tillsynsbegäran mail.docx", "A 5571-2023")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46221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Bokvårtlav</t>
        </is>
      </c>
      <c r="V35">
        <f>HYPERLINK("https://klasma.github.io/Logging_1081/artfynd/A 7842-2023 artfynd.xlsx", "A 7842-2023")</f>
        <v/>
      </c>
      <c r="W35">
        <f>HYPERLINK("https://klasma.github.io/Logging_1081/kartor/A 7842-2023 karta.png", "A 7842-2023")</f>
        <v/>
      </c>
      <c r="Y35">
        <f>HYPERLINK("https://klasma.github.io/Logging_1081/klagomål/A 7842-2023 FSC-klagomål.docx", "A 7842-2023")</f>
        <v/>
      </c>
      <c r="Z35">
        <f>HYPERLINK("https://klasma.github.io/Logging_1081/klagomålsmail/A 7842-2023 FSC-klagomål mail.docx", "A 7842-2023")</f>
        <v/>
      </c>
      <c r="AA35">
        <f>HYPERLINK("https://klasma.github.io/Logging_1081/tillsyn/A 7842-2023 tillsynsbegäran.docx", "A 7842-2023")</f>
        <v/>
      </c>
      <c r="AB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46221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Grönhjon</t>
        </is>
      </c>
      <c r="V36">
        <f>HYPERLINK("https://klasma.github.io/Logging_1081/artfynd/A 14940-2023 artfynd.xlsx", "A 14940-2023")</f>
        <v/>
      </c>
      <c r="W36">
        <f>HYPERLINK("https://klasma.github.io/Logging_1081/kartor/A 14940-2023 karta.png", "A 14940-2023")</f>
        <v/>
      </c>
      <c r="Y36">
        <f>HYPERLINK("https://klasma.github.io/Logging_1081/klagomål/A 14940-2023 FSC-klagomål.docx", "A 14940-2023")</f>
        <v/>
      </c>
      <c r="Z36">
        <f>HYPERLINK("https://klasma.github.io/Logging_1081/klagomålsmail/A 14940-2023 FSC-klagomål mail.docx", "A 14940-2023")</f>
        <v/>
      </c>
      <c r="AA36">
        <f>HYPERLINK("https://klasma.github.io/Logging_1081/tillsyn/A 14940-2023 tillsynsbegäran.docx", "A 14940-2023")</f>
        <v/>
      </c>
      <c r="AB36">
        <f>HYPERLINK("https://klasma.github.io/Logging_1081/tillsynsmail/A 14940-2023 tillsynsbegäran mail.docx", "A 14940-2023")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46221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Lopplummer (aggregat)</t>
        </is>
      </c>
      <c r="V37">
        <f>HYPERLINK("https://klasma.github.io/Logging_1081/artfynd/A 8961-2024 artfynd.xlsx", "A 8961-2024")</f>
        <v/>
      </c>
      <c r="W37">
        <f>HYPERLINK("https://klasma.github.io/Logging_1081/kartor/A 8961-2024 karta.png", "A 8961-2024")</f>
        <v/>
      </c>
      <c r="Y37">
        <f>HYPERLINK("https://klasma.github.io/Logging_1081/klagomål/A 8961-2024 FSC-klagomål.docx", "A 8961-2024")</f>
        <v/>
      </c>
      <c r="Z37">
        <f>HYPERLINK("https://klasma.github.io/Logging_1081/klagomålsmail/A 8961-2024 FSC-klagomål mail.docx", "A 8961-2024")</f>
        <v/>
      </c>
      <c r="AA37">
        <f>HYPERLINK("https://klasma.github.io/Logging_1081/tillsyn/A 8961-2024 tillsynsbegäran.docx", "A 8961-2024")</f>
        <v/>
      </c>
      <c r="AB37">
        <f>HYPERLINK("https://klasma.github.io/Logging_1081/tillsynsmail/A 8961-2024 tillsynsbegäran mail.docx", "A 8961-2024")</f>
        <v/>
      </c>
    </row>
    <row r="38" ht="15" customHeight="1">
      <c r="A38" t="inlineStr">
        <is>
          <t>A 12660-2026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46091</v>
      </c>
      <c r="E38" s="1" t="n">
        <v>46221</v>
      </c>
      <c r="F38" t="inlineStr">
        <is>
          <t>BLEKINGE LÄN</t>
        </is>
      </c>
      <c r="G38" t="inlineStr">
        <is>
          <t>RONNEBY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HYPERLINK("https://klasma.github.io/Logging_1081/artfynd/A 12660-2026 artfynd.xlsx", "A 12660-2026")</f>
        <v/>
      </c>
      <c r="W38">
        <f>HYPERLINK("https://klasma.github.io/Logging_1081/kartor/A 12660-2026 karta.png", "A 12660-2026")</f>
        <v/>
      </c>
      <c r="Y38">
        <f>HYPERLINK("https://klasma.github.io/Logging_1081/klagomål/A 12660-2026 FSC-klagomål.docx", "A 12660-2026")</f>
        <v/>
      </c>
      <c r="Z38">
        <f>HYPERLINK("https://klasma.github.io/Logging_1081/klagomålsmail/A 12660-2026 FSC-klagomål mail.docx", "A 12660-2026")</f>
        <v/>
      </c>
      <c r="AA38">
        <f>HYPERLINK("https://klasma.github.io/Logging_1081/tillsyn/A 12660-2026 tillsynsbegäran.docx", "A 12660-2026")</f>
        <v/>
      </c>
      <c r="AB38">
        <f>HYPERLINK("https://klasma.github.io/Logging_1081/tillsynsmail/A 12660-2026 tillsynsbegäran mail.docx", "A 12660-2026")</f>
        <v/>
      </c>
    </row>
    <row r="39" ht="15" customHeight="1">
      <c r="A39" t="inlineStr">
        <is>
          <t>A 60347-2025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45995</v>
      </c>
      <c r="E39" s="1" t="n">
        <v>46221</v>
      </c>
      <c r="F39" t="inlineStr">
        <is>
          <t>BLEKINGE LÄN</t>
        </is>
      </c>
      <c r="G39" t="inlineStr">
        <is>
          <t>RONNEBY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HYPERLINK("https://klasma.github.io/Logging_1081/artfynd/A 60347-2025 artfynd.xlsx", "A 60347-2025")</f>
        <v/>
      </c>
      <c r="W39">
        <f>HYPERLINK("https://klasma.github.io/Logging_1081/kartor/A 60347-2025 karta.png", "A 60347-2025")</f>
        <v/>
      </c>
      <c r="Y39">
        <f>HYPERLINK("https://klasma.github.io/Logging_1081/klagomål/A 60347-2025 FSC-klagomål.docx", "A 60347-2025")</f>
        <v/>
      </c>
      <c r="Z39">
        <f>HYPERLINK("https://klasma.github.io/Logging_1081/klagomålsmail/A 60347-2025 FSC-klagomål mail.docx", "A 60347-2025")</f>
        <v/>
      </c>
      <c r="AA39">
        <f>HYPERLINK("https://klasma.github.io/Logging_1081/tillsyn/A 60347-2025 tillsynsbegäran.docx", "A 60347-2025")</f>
        <v/>
      </c>
      <c r="AB39">
        <f>HYPERLINK("https://klasma.github.io/Logging_1081/tillsynsmail/A 60347-2025 tillsynsbegäran mail.docx", "A 60347-2025")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46221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Hårklomossa</t>
        </is>
      </c>
      <c r="V40">
        <f>HYPERLINK("https://klasma.github.io/Logging_1081/artfynd/A 41053-2024 artfynd.xlsx", "A 41053-2024")</f>
        <v/>
      </c>
      <c r="W40">
        <f>HYPERLINK("https://klasma.github.io/Logging_1081/kartor/A 41053-2024 karta.png", "A 41053-2024")</f>
        <v/>
      </c>
      <c r="Y40">
        <f>HYPERLINK("https://klasma.github.io/Logging_1081/klagomål/A 41053-2024 FSC-klagomål.docx", "A 41053-2024")</f>
        <v/>
      </c>
      <c r="Z40">
        <f>HYPERLINK("https://klasma.github.io/Logging_1081/klagomålsmail/A 41053-2024 FSC-klagomål mail.docx", "A 41053-2024")</f>
        <v/>
      </c>
      <c r="AA40">
        <f>HYPERLINK("https://klasma.github.io/Logging_1081/tillsyn/A 41053-2024 tillsynsbegäran.docx", "A 41053-2024")</f>
        <v/>
      </c>
      <c r="AB40">
        <f>HYPERLINK("https://klasma.github.io/Logging_1081/tillsynsmail/A 41053-2024 tillsynsbegäran mail.docx", "A 41053-2024")</f>
        <v/>
      </c>
    </row>
    <row r="41" ht="15" customHeight="1">
      <c r="A41" t="inlineStr">
        <is>
          <t>A 21446-2023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46221</v>
      </c>
      <c r="F41" t="inlineStr">
        <is>
          <t>BLEKINGE LÄN</t>
        </is>
      </c>
      <c r="G41" t="inlineStr">
        <is>
          <t>RONNEBY</t>
        </is>
      </c>
      <c r="H41" t="inlineStr">
        <is>
          <t>Kommuner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Utter</t>
        </is>
      </c>
      <c r="V41">
        <f>HYPERLINK("https://klasma.github.io/Logging_1081/artfynd/A 21446-2023 artfynd.xlsx", "A 21446-2023")</f>
        <v/>
      </c>
      <c r="W41">
        <f>HYPERLINK("https://klasma.github.io/Logging_1081/kartor/A 21446-2023 karta.png", "A 21446-2023")</f>
        <v/>
      </c>
      <c r="Y41">
        <f>HYPERLINK("https://klasma.github.io/Logging_1081/klagomål/A 21446-2023 FSC-klagomål.docx", "A 21446-2023")</f>
        <v/>
      </c>
      <c r="Z41">
        <f>HYPERLINK("https://klasma.github.io/Logging_1081/klagomålsmail/A 21446-2023 FSC-klagomål mail.docx", "A 21446-2023")</f>
        <v/>
      </c>
      <c r="AA41">
        <f>HYPERLINK("https://klasma.github.io/Logging_1081/tillsyn/A 21446-2023 tillsynsbegäran.docx", "A 21446-2023")</f>
        <v/>
      </c>
      <c r="AB41">
        <f>HYPERLINK("https://klasma.github.io/Logging_1081/tillsynsmail/A 21446-2023 tillsynsbegäran mail.docx", "A 21446-2023")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46221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Backsippa</t>
        </is>
      </c>
      <c r="V42">
        <f>HYPERLINK("https://klasma.github.io/Logging_1081/artfynd/A 19471-2026 artfynd.xlsx", "A 19471-2026")</f>
        <v/>
      </c>
      <c r="W42">
        <f>HYPERLINK("https://klasma.github.io/Logging_1081/kartor/A 19471-2026 karta.png", "A 19471-2026")</f>
        <v/>
      </c>
      <c r="Y42">
        <f>HYPERLINK("https://klasma.github.io/Logging_1081/klagomål/A 19471-2026 FSC-klagomål.docx", "A 19471-2026")</f>
        <v/>
      </c>
      <c r="Z42">
        <f>HYPERLINK("https://klasma.github.io/Logging_1081/klagomålsmail/A 19471-2026 FSC-klagomål mail.docx", "A 19471-2026")</f>
        <v/>
      </c>
      <c r="AA42">
        <f>HYPERLINK("https://klasma.github.io/Logging_1081/tillsyn/A 19471-2026 tillsynsbegäran.docx", "A 19471-2026")</f>
        <v/>
      </c>
      <c r="AB42">
        <f>HYPERLINK("https://klasma.github.io/Logging_1081/tillsynsmail/A 19471-2026 tillsynsbegäran mail.docx", "A 19471-2026")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46221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Jungfrulin</t>
        </is>
      </c>
      <c r="V43">
        <f>HYPERLINK("https://klasma.github.io/Logging_1081/artfynd/A 45413-2023 artfynd.xlsx", "A 45413-2023")</f>
        <v/>
      </c>
      <c r="W43">
        <f>HYPERLINK("https://klasma.github.io/Logging_1081/kartor/A 45413-2023 karta.png", "A 45413-2023")</f>
        <v/>
      </c>
      <c r="Y43">
        <f>HYPERLINK("https://klasma.github.io/Logging_1081/klagomål/A 45413-2023 FSC-klagomål.docx", "A 45413-2023")</f>
        <v/>
      </c>
      <c r="Z43">
        <f>HYPERLINK("https://klasma.github.io/Logging_1081/klagomålsmail/A 45413-2023 FSC-klagomål mail.docx", "A 45413-2023")</f>
        <v/>
      </c>
      <c r="AA43">
        <f>HYPERLINK("https://klasma.github.io/Logging_1081/tillsyn/A 45413-2023 tillsynsbegäran.docx", "A 45413-2023")</f>
        <v/>
      </c>
      <c r="AB43">
        <f>HYPERLINK("https://klasma.github.io/Logging_1081/tillsynsmail/A 45413-2023 tillsynsbegäran mail.docx", "A 45413-2023")</f>
        <v/>
      </c>
    </row>
    <row r="44" ht="15" customHeight="1">
      <c r="A44" t="inlineStr">
        <is>
          <t>A 26114-2026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46221</v>
      </c>
      <c r="F44" t="inlineStr">
        <is>
          <t>BLEKINGE LÄN</t>
        </is>
      </c>
      <c r="G44" t="inlineStr">
        <is>
          <t>RONNEBY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Hasselmus</t>
        </is>
      </c>
      <c r="V44">
        <f>HYPERLINK("https://klasma.github.io/Logging_1081/artfynd/A 26114-2026 artfynd.xlsx", "A 26114-2026")</f>
        <v/>
      </c>
      <c r="W44">
        <f>HYPERLINK("https://klasma.github.io/Logging_1081/kartor/A 26114-2026 karta.png", "A 26114-2026")</f>
        <v/>
      </c>
      <c r="Y44">
        <f>HYPERLINK("https://klasma.github.io/Logging_1081/klagomål/A 26114-2026 FSC-klagomål.docx", "A 26114-2026")</f>
        <v/>
      </c>
      <c r="Z44">
        <f>HYPERLINK("https://klasma.github.io/Logging_1081/klagomålsmail/A 26114-2026 FSC-klagomål mail.docx", "A 26114-2026")</f>
        <v/>
      </c>
      <c r="AA44">
        <f>HYPERLINK("https://klasma.github.io/Logging_1081/tillsyn/A 26114-2026 tillsynsbegäran.docx", "A 26114-2026")</f>
        <v/>
      </c>
      <c r="AB44">
        <f>HYPERLINK("https://klasma.github.io/Logging_1081/tillsynsmail/A 26114-2026 tillsynsbegäran mail.docx", "A 26114-2026")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46221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Havstulpanlav</t>
        </is>
      </c>
      <c r="V45">
        <f>HYPERLINK("https://klasma.github.io/Logging_1081/artfynd/A 26288-2026 artfynd.xlsx", "A 26288-2026")</f>
        <v/>
      </c>
      <c r="W45">
        <f>HYPERLINK("https://klasma.github.io/Logging_1081/kartor/A 26288-2026 karta.png", "A 26288-2026")</f>
        <v/>
      </c>
      <c r="Y45">
        <f>HYPERLINK("https://klasma.github.io/Logging_1081/klagomål/A 26288-2026 FSC-klagomål.docx", "A 26288-2026")</f>
        <v/>
      </c>
      <c r="Z45">
        <f>HYPERLINK("https://klasma.github.io/Logging_1081/klagomålsmail/A 26288-2026 FSC-klagomål mail.docx", "A 26288-2026")</f>
        <v/>
      </c>
      <c r="AA45">
        <f>HYPERLINK("https://klasma.github.io/Logging_1081/tillsyn/A 26288-2026 tillsynsbegäran.docx", "A 26288-2026")</f>
        <v/>
      </c>
      <c r="AB45">
        <f>HYPERLINK("https://klasma.github.io/Logging_1081/tillsynsmail/A 26288-2026 tillsynsbegäran mail.docx", "A 26288-2026")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46221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Tibast</t>
        </is>
      </c>
      <c r="V46">
        <f>HYPERLINK("https://klasma.github.io/Logging_1081/artfynd/A 9309-2023 artfynd.xlsx", "A 9309-2023")</f>
        <v/>
      </c>
      <c r="W46">
        <f>HYPERLINK("https://klasma.github.io/Logging_1081/kartor/A 9309-2023 karta.png", "A 9309-2023")</f>
        <v/>
      </c>
      <c r="Y46">
        <f>HYPERLINK("https://klasma.github.io/Logging_1081/klagomål/A 9309-2023 FSC-klagomål.docx", "A 9309-2023")</f>
        <v/>
      </c>
      <c r="Z46">
        <f>HYPERLINK("https://klasma.github.io/Logging_1081/klagomålsmail/A 9309-2023 FSC-klagomål mail.docx", "A 9309-2023")</f>
        <v/>
      </c>
      <c r="AA46">
        <f>HYPERLINK("https://klasma.github.io/Logging_1081/tillsyn/A 9309-2023 tillsynsbegäran.docx", "A 9309-2023")</f>
        <v/>
      </c>
      <c r="AB46">
        <f>HYPERLINK("https://klasma.github.io/Logging_1081/tillsynsmail/A 9309-2023 tillsynsbegäran mail.docx", "A 9309-2023")</f>
        <v/>
      </c>
    </row>
    <row r="47" ht="15" customHeight="1">
      <c r="A47" t="inlineStr">
        <is>
          <t>A 45186-2021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46221</v>
      </c>
      <c r="F47" t="inlineStr">
        <is>
          <t>BLEKINGE LÄN</t>
        </is>
      </c>
      <c r="G47" t="inlineStr">
        <is>
          <t>RONNEBY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Röd glada</t>
        </is>
      </c>
      <c r="V47">
        <f>HYPERLINK("https://klasma.github.io/Logging_1081/artfynd/A 45186-2021 artfynd.xlsx", "A 45186-2021")</f>
        <v/>
      </c>
      <c r="W47">
        <f>HYPERLINK("https://klasma.github.io/Logging_1081/kartor/A 45186-2021 karta.png", "A 45186-2021")</f>
        <v/>
      </c>
      <c r="Y47">
        <f>HYPERLINK("https://klasma.github.io/Logging_1081/klagomål/A 45186-2021 FSC-klagomål.docx", "A 45186-2021")</f>
        <v/>
      </c>
      <c r="Z47">
        <f>HYPERLINK("https://klasma.github.io/Logging_1081/klagomålsmail/A 45186-2021 FSC-klagomål mail.docx", "A 45186-2021")</f>
        <v/>
      </c>
      <c r="AA47">
        <f>HYPERLINK("https://klasma.github.io/Logging_1081/tillsyn/A 45186-2021 tillsynsbegäran.docx", "A 45186-2021")</f>
        <v/>
      </c>
      <c r="AB47">
        <f>HYPERLINK("https://klasma.github.io/Logging_1081/tillsynsmail/A 45186-2021 tillsynsbegäran mail.docx", "A 45186-2021")</f>
        <v/>
      </c>
      <c r="AC47">
        <f>HYPERLINK("https://klasma.github.io/Logging_1081/fåglar/A 45186-2021 prioriterade fågelarter.docx", "A 45186-2021")</f>
        <v/>
      </c>
    </row>
    <row r="48" ht="15" customHeight="1">
      <c r="A48" t="inlineStr">
        <is>
          <t>A 25104-2026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46175</v>
      </c>
      <c r="E48" s="1" t="n">
        <v>46221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Backsippa</t>
        </is>
      </c>
      <c r="V48">
        <f>HYPERLINK("https://klasma.github.io/Logging_1081/artfynd/A 25104-2026 artfynd.xlsx", "A 25104-2026")</f>
        <v/>
      </c>
      <c r="W48">
        <f>HYPERLINK("https://klasma.github.io/Logging_1081/kartor/A 25104-2026 karta.png", "A 25104-2026")</f>
        <v/>
      </c>
      <c r="Y48">
        <f>HYPERLINK("https://klasma.github.io/Logging_1081/klagomål/A 25104-2026 FSC-klagomål.docx", "A 25104-2026")</f>
        <v/>
      </c>
      <c r="Z48">
        <f>HYPERLINK("https://klasma.github.io/Logging_1081/klagomålsmail/A 25104-2026 FSC-klagomål mail.docx", "A 25104-2026")</f>
        <v/>
      </c>
      <c r="AA48">
        <f>HYPERLINK("https://klasma.github.io/Logging_1081/tillsyn/A 25104-2026 tillsynsbegäran.docx", "A 25104-2026")</f>
        <v/>
      </c>
      <c r="AB48">
        <f>HYPERLINK("https://klasma.github.io/Logging_1081/tillsynsmail/A 25104-2026 tillsynsbegäran mail.docx", "A 25104-2026")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46221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Trädporella</t>
        </is>
      </c>
      <c r="V49">
        <f>HYPERLINK("https://klasma.github.io/Logging_1081/artfynd/A 9922-2025 artfynd.xlsx", "A 9922-2025")</f>
        <v/>
      </c>
      <c r="W49">
        <f>HYPERLINK("https://klasma.github.io/Logging_1081/kartor/A 9922-2025 karta.png", "A 9922-2025")</f>
        <v/>
      </c>
      <c r="Y49">
        <f>HYPERLINK("https://klasma.github.io/Logging_1081/klagomål/A 9922-2025 FSC-klagomål.docx", "A 9922-2025")</f>
        <v/>
      </c>
      <c r="Z49">
        <f>HYPERLINK("https://klasma.github.io/Logging_1081/klagomålsmail/A 9922-2025 FSC-klagomål mail.docx", "A 9922-2025")</f>
        <v/>
      </c>
      <c r="AA49">
        <f>HYPERLINK("https://klasma.github.io/Logging_1081/tillsyn/A 9922-2025 tillsynsbegäran.docx", "A 9922-2025")</f>
        <v/>
      </c>
      <c r="AB49">
        <f>HYPERLINK("https://klasma.github.io/Logging_1081/tillsynsmail/A 9922-2025 tillsynsbegäran mail.docx", "A 9922-2025")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46221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HYPERLINK("https://klasma.github.io/Logging_1081/artfynd/A 24296-2024 artfynd.xlsx", "A 24296-2024")</f>
        <v/>
      </c>
      <c r="W50">
        <f>HYPERLINK("https://klasma.github.io/Logging_1081/kartor/A 24296-2024 karta.png", "A 24296-2024")</f>
        <v/>
      </c>
      <c r="Y50">
        <f>HYPERLINK("https://klasma.github.io/Logging_1081/klagomål/A 24296-2024 FSC-klagomål.docx", "A 24296-2024")</f>
        <v/>
      </c>
      <c r="Z50">
        <f>HYPERLINK("https://klasma.github.io/Logging_1081/klagomålsmail/A 24296-2024 FSC-klagomål mail.docx", "A 24296-2024")</f>
        <v/>
      </c>
      <c r="AA50">
        <f>HYPERLINK("https://klasma.github.io/Logging_1081/tillsyn/A 24296-2024 tillsynsbegäran.docx", "A 24296-2024")</f>
        <v/>
      </c>
      <c r="AB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46221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HYPERLINK("https://klasma.github.io/Logging_1081/artfynd/A 6431-2025 artfynd.xlsx", "A 6431-2025")</f>
        <v/>
      </c>
      <c r="W51">
        <f>HYPERLINK("https://klasma.github.io/Logging_1081/kartor/A 6431-2025 karta.png", "A 6431-2025")</f>
        <v/>
      </c>
      <c r="Y51">
        <f>HYPERLINK("https://klasma.github.io/Logging_1081/klagomål/A 6431-2025 FSC-klagomål.docx", "A 6431-2025")</f>
        <v/>
      </c>
      <c r="Z51">
        <f>HYPERLINK("https://klasma.github.io/Logging_1081/klagomålsmail/A 6431-2025 FSC-klagomål mail.docx", "A 6431-2025")</f>
        <v/>
      </c>
      <c r="AA51">
        <f>HYPERLINK("https://klasma.github.io/Logging_1081/tillsyn/A 6431-2025 tillsynsbegäran.docx", "A 6431-2025")</f>
        <v/>
      </c>
      <c r="AB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46221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HYPERLINK("https://klasma.github.io/Logging_1081/artfynd/A 38228-2024 artfynd.xlsx", "A 38228-2024")</f>
        <v/>
      </c>
      <c r="W52">
        <f>HYPERLINK("https://klasma.github.io/Logging_1081/kartor/A 38228-2024 karta.png", "A 38228-2024")</f>
        <v/>
      </c>
      <c r="Y52">
        <f>HYPERLINK("https://klasma.github.io/Logging_1081/klagomål/A 38228-2024 FSC-klagomål.docx", "A 38228-2024")</f>
        <v/>
      </c>
      <c r="Z52">
        <f>HYPERLINK("https://klasma.github.io/Logging_1081/klagomålsmail/A 38228-2024 FSC-klagomål mail.docx", "A 38228-2024")</f>
        <v/>
      </c>
      <c r="AA52">
        <f>HYPERLINK("https://klasma.github.io/Logging_1081/tillsyn/A 38228-2024 tillsynsbegäran.docx", "A 38228-2024")</f>
        <v/>
      </c>
      <c r="AB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46221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46221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46221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46221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46221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46221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46221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46221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46221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46221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46221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46221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46221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46221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46221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46221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46221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46221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46221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46221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46221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46221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46221</v>
      </c>
      <c r="F75" t="inlineStr">
        <is>
          <t>BLEKINGE LÄN</t>
        </is>
      </c>
      <c r="G75" t="inlineStr">
        <is>
          <t>RONNEBY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46221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19440-2022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46221</v>
      </c>
      <c r="F77" t="inlineStr">
        <is>
          <t>BLEKINGE LÄN</t>
        </is>
      </c>
      <c r="G77" t="inlineStr">
        <is>
          <t>RONNEBY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46221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30517-2022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46221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46221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46221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46221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46221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46221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46221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46221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46221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46221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46221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46221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46221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46221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46221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46221</v>
      </c>
      <c r="F94" t="inlineStr">
        <is>
          <t>BLEKINGE LÄN</t>
        </is>
      </c>
      <c r="G94" t="inlineStr">
        <is>
          <t>RONNEBY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46221</v>
      </c>
      <c r="F95" t="inlineStr">
        <is>
          <t>BLEKINGE LÄN</t>
        </is>
      </c>
      <c r="G95" t="inlineStr">
        <is>
          <t>RONNEBY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46221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46221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46221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46221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46221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46221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46221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39386-2021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46221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66288-2021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46221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46221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46221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46221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46221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46221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46221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46221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46221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46221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46221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46221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46221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46221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46221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46221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46221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46221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46221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10737-2022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46221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59946-2021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46221</v>
      </c>
      <c r="F124" t="inlineStr">
        <is>
          <t>BLEKINGE LÄN</t>
        </is>
      </c>
      <c r="G124" t="inlineStr">
        <is>
          <t>RONNEBY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46221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55113-2024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46221</v>
      </c>
      <c r="F126" t="inlineStr">
        <is>
          <t>BLEKINGE LÄN</t>
        </is>
      </c>
      <c r="G126" t="inlineStr">
        <is>
          <t>RONNEBY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46168-2023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46221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46221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19642-2023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46221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32076-2022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44778</v>
      </c>
      <c r="E130" s="1" t="n">
        <v>46221</v>
      </c>
      <c r="F130" t="inlineStr">
        <is>
          <t>BLEKINGE LÄN</t>
        </is>
      </c>
      <c r="G130" t="inlineStr">
        <is>
          <t>RONNEBY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9580-2024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45360</v>
      </c>
      <c r="E131" s="1" t="n">
        <v>46221</v>
      </c>
      <c r="F131" t="inlineStr">
        <is>
          <t>BLEKINGE LÄN</t>
        </is>
      </c>
      <c r="G131" t="inlineStr">
        <is>
          <t>RONNEBY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45536</v>
      </c>
      <c r="E132" s="1" t="n">
        <v>46221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46221</v>
      </c>
      <c r="F133" t="inlineStr">
        <is>
          <t>BLEKINGE LÄN</t>
        </is>
      </c>
      <c r="G133" t="inlineStr">
        <is>
          <t>RONNEBY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56592-2022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46221</v>
      </c>
      <c r="F134" t="inlineStr">
        <is>
          <t>BLEKINGE LÄN</t>
        </is>
      </c>
      <c r="G134" t="inlineStr">
        <is>
          <t>RONNEBY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46221</v>
      </c>
      <c r="F135" t="inlineStr">
        <is>
          <t>BLEKINGE LÄN</t>
        </is>
      </c>
      <c r="G135" t="inlineStr">
        <is>
          <t>RONNEBY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46221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12414-2024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46221</v>
      </c>
      <c r="F137" t="inlineStr">
        <is>
          <t>BLEKINGE LÄN</t>
        </is>
      </c>
      <c r="G137" t="inlineStr">
        <is>
          <t>RONNEBY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36946-2022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44806</v>
      </c>
      <c r="E138" s="1" t="n">
        <v>46221</v>
      </c>
      <c r="F138" t="inlineStr">
        <is>
          <t>BLEKINGE LÄN</t>
        </is>
      </c>
      <c r="G138" t="inlineStr">
        <is>
          <t>RONNEBY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55350-2023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46221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18746-2024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45426</v>
      </c>
      <c r="E140" s="1" t="n">
        <v>46221</v>
      </c>
      <c r="F140" t="inlineStr">
        <is>
          <t>BLEKINGE LÄN</t>
        </is>
      </c>
      <c r="G140" t="inlineStr">
        <is>
          <t>RONNEBY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45381</v>
      </c>
      <c r="E141" s="1" t="n">
        <v>46221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46221</v>
      </c>
      <c r="F142" t="inlineStr">
        <is>
          <t>BLEKINGE LÄN</t>
        </is>
      </c>
      <c r="G142" t="inlineStr">
        <is>
          <t>RONNEBY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46221</v>
      </c>
      <c r="F143" t="inlineStr">
        <is>
          <t>BLEKINGE LÄN</t>
        </is>
      </c>
      <c r="G143" t="inlineStr">
        <is>
          <t>RONNEBY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61110-2023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46221</v>
      </c>
      <c r="F144" t="inlineStr">
        <is>
          <t>BLEKINGE LÄN</t>
        </is>
      </c>
      <c r="G144" t="inlineStr">
        <is>
          <t>RONNEBY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59006-2022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46221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32698-2023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46221</v>
      </c>
      <c r="F146" t="inlineStr">
        <is>
          <t>BLEKINGE LÄN</t>
        </is>
      </c>
      <c r="G146" t="inlineStr">
        <is>
          <t>RONNEBY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31418-2024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45505</v>
      </c>
      <c r="E147" s="1" t="n">
        <v>46221</v>
      </c>
      <c r="F147" t="inlineStr">
        <is>
          <t>BLEKINGE LÄN</t>
        </is>
      </c>
      <c r="G147" t="inlineStr">
        <is>
          <t>RONNEBY</t>
        </is>
      </c>
      <c r="H147" t="inlineStr">
        <is>
          <t>Kommuner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28048-2023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46221</v>
      </c>
      <c r="F148" t="inlineStr">
        <is>
          <t>BLEKINGE LÄN</t>
        </is>
      </c>
      <c r="G148" t="inlineStr">
        <is>
          <t>RONNEBY</t>
        </is>
      </c>
      <c r="I148" t="n">
        <v>14.4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46221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46221</v>
      </c>
      <c r="F150" t="inlineStr">
        <is>
          <t>BLEKINGE LÄN</t>
        </is>
      </c>
      <c r="G150" t="inlineStr">
        <is>
          <t>RONNEBY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44595</v>
      </c>
      <c r="E151" s="1" t="n">
        <v>46221</v>
      </c>
      <c r="F151" t="inlineStr">
        <is>
          <t>BLEKINGE LÄN</t>
        </is>
      </c>
      <c r="G151" t="inlineStr">
        <is>
          <t>RONNEBY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14361-2023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46221</v>
      </c>
      <c r="F152" t="inlineStr">
        <is>
          <t>BLEKINGE LÄN</t>
        </is>
      </c>
      <c r="G152" t="inlineStr">
        <is>
          <t>RONNEBY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9302-2023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46221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2807-2023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46221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46221</v>
      </c>
      <c r="F155" t="inlineStr">
        <is>
          <t>BLEKINGE LÄN</t>
        </is>
      </c>
      <c r="G155" t="inlineStr">
        <is>
          <t>RONNEBY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45619</v>
      </c>
      <c r="E156" s="1" t="n">
        <v>46221</v>
      </c>
      <c r="F156" t="inlineStr">
        <is>
          <t>BLEKINGE LÄN</t>
        </is>
      </c>
      <c r="G156" t="inlineStr">
        <is>
          <t>RONNEBY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49833-2024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46221</v>
      </c>
      <c r="F157" t="inlineStr">
        <is>
          <t>BLEKINGE LÄN</t>
        </is>
      </c>
      <c r="G157" t="inlineStr">
        <is>
          <t>RONNEBY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61564-2024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45646</v>
      </c>
      <c r="E158" s="1" t="n">
        <v>46221</v>
      </c>
      <c r="F158" t="inlineStr">
        <is>
          <t>BLEKINGE LÄN</t>
        </is>
      </c>
      <c r="G158" t="inlineStr">
        <is>
          <t>RONNEBY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46221</v>
      </c>
      <c r="F159" t="inlineStr">
        <is>
          <t>BLEKINGE LÄN</t>
        </is>
      </c>
      <c r="G159" t="inlineStr">
        <is>
          <t>RONNEBY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46221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30197-2024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45490</v>
      </c>
      <c r="E161" s="1" t="n">
        <v>46221</v>
      </c>
      <c r="F161" t="inlineStr">
        <is>
          <t>BLEKINGE LÄN</t>
        </is>
      </c>
      <c r="G161" t="inlineStr">
        <is>
          <t>RONNEBY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64465-2023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46221</v>
      </c>
      <c r="F162" t="inlineStr">
        <is>
          <t>BLEKINGE LÄN</t>
        </is>
      </c>
      <c r="G162" t="inlineStr">
        <is>
          <t>RONNEBY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48183-2024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46221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46221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46221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46221</v>
      </c>
      <c r="F166" t="inlineStr">
        <is>
          <t>BLEKINGE LÄN</t>
        </is>
      </c>
      <c r="G166" t="inlineStr">
        <is>
          <t>RONNEBY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46221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1909-2023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44939</v>
      </c>
      <c r="E168" s="1" t="n">
        <v>46221</v>
      </c>
      <c r="F168" t="inlineStr">
        <is>
          <t>BLEKINGE LÄN</t>
        </is>
      </c>
      <c r="G168" t="inlineStr">
        <is>
          <t>RONNEBY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59007-2022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46221</v>
      </c>
      <c r="F169" t="inlineStr">
        <is>
          <t>BLEKINGE LÄN</t>
        </is>
      </c>
      <c r="G169" t="inlineStr">
        <is>
          <t>RONNEBY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46221</v>
      </c>
      <c r="F170" t="inlineStr">
        <is>
          <t>BLEKINGE LÄN</t>
        </is>
      </c>
      <c r="G170" t="inlineStr">
        <is>
          <t>RONNEBY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10767-2022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46221</v>
      </c>
      <c r="F171" t="inlineStr">
        <is>
          <t>BLEKINGE LÄN</t>
        </is>
      </c>
      <c r="G171" t="inlineStr">
        <is>
          <t>RONNEBY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54065-2024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45616</v>
      </c>
      <c r="E172" s="1" t="n">
        <v>46221</v>
      </c>
      <c r="F172" t="inlineStr">
        <is>
          <t>BLEKINGE LÄN</t>
        </is>
      </c>
      <c r="G172" t="inlineStr">
        <is>
          <t>RONNEBY</t>
        </is>
      </c>
      <c r="H172" t="inlineStr">
        <is>
          <t>Kommuner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42169-2023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45178</v>
      </c>
      <c r="E173" s="1" t="n">
        <v>46221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46221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46221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39472-2024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45551</v>
      </c>
      <c r="E176" s="1" t="n">
        <v>46221</v>
      </c>
      <c r="F176" t="inlineStr">
        <is>
          <t>BLEKINGE LÄN</t>
        </is>
      </c>
      <c r="G176" t="inlineStr">
        <is>
          <t>RONNEBY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58618-2021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46221</v>
      </c>
      <c r="F177" t="inlineStr">
        <is>
          <t>BLEKINGE LÄN</t>
        </is>
      </c>
      <c r="G177" t="inlineStr">
        <is>
          <t>RONNEBY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46221</v>
      </c>
      <c r="F178" t="inlineStr">
        <is>
          <t>BLEKINGE LÄN</t>
        </is>
      </c>
      <c r="G178" t="inlineStr">
        <is>
          <t>RONNEBY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39062-2025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46221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29079-2023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45104</v>
      </c>
      <c r="E180" s="1" t="n">
        <v>46221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17509-2025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46221</v>
      </c>
      <c r="F181" t="inlineStr">
        <is>
          <t>BLEKINGE LÄN</t>
        </is>
      </c>
      <c r="G181" t="inlineStr">
        <is>
          <t>RONNEBY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31413-2024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45505</v>
      </c>
      <c r="E182" s="1" t="n">
        <v>46221</v>
      </c>
      <c r="F182" t="inlineStr">
        <is>
          <t>BLEKINGE LÄN</t>
        </is>
      </c>
      <c r="G182" t="inlineStr">
        <is>
          <t>RONNEBY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45192</v>
      </c>
      <c r="E183" s="1" t="n">
        <v>46221</v>
      </c>
      <c r="F183" t="inlineStr">
        <is>
          <t>BLEKINGE LÄN</t>
        </is>
      </c>
      <c r="G183" t="inlineStr">
        <is>
          <t>RONNEBY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46221</v>
      </c>
      <c r="F184" t="inlineStr">
        <is>
          <t>BLEKINGE LÄN</t>
        </is>
      </c>
      <c r="G184" t="inlineStr">
        <is>
          <t>RONNEBY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46221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46221</v>
      </c>
      <c r="F186" t="inlineStr">
        <is>
          <t>BLEKINGE LÄN</t>
        </is>
      </c>
      <c r="G186" t="inlineStr">
        <is>
          <t>RONNEBY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46221</v>
      </c>
      <c r="F187" t="inlineStr">
        <is>
          <t>BLEKINGE LÄN</t>
        </is>
      </c>
      <c r="G187" t="inlineStr">
        <is>
          <t>RONNEBY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46221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17193-2024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45413</v>
      </c>
      <c r="E189" s="1" t="n">
        <v>46221</v>
      </c>
      <c r="F189" t="inlineStr">
        <is>
          <t>BLEKINGE LÄN</t>
        </is>
      </c>
      <c r="G189" t="inlineStr">
        <is>
          <t>RONNEBY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45892</v>
      </c>
      <c r="E190" s="1" t="n">
        <v>46221</v>
      </c>
      <c r="F190" t="inlineStr">
        <is>
          <t>BLEKINGE LÄN</t>
        </is>
      </c>
      <c r="G190" t="inlineStr">
        <is>
          <t>RONNEBY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46434-2023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46221</v>
      </c>
      <c r="F191" t="inlineStr">
        <is>
          <t>BLEKINGE LÄN</t>
        </is>
      </c>
      <c r="G191" t="inlineStr">
        <is>
          <t>RONNEBY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10920-2025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46221</v>
      </c>
      <c r="F192" t="inlineStr">
        <is>
          <t>BLEKINGE LÄN</t>
        </is>
      </c>
      <c r="G192" t="inlineStr">
        <is>
          <t>RONNEBY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46221</v>
      </c>
      <c r="F193" t="inlineStr">
        <is>
          <t>BLEKINGE LÄN</t>
        </is>
      </c>
      <c r="G193" t="inlineStr">
        <is>
          <t>RONNEBY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46046</v>
      </c>
      <c r="E194" s="1" t="n">
        <v>46221</v>
      </c>
      <c r="F194" t="inlineStr">
        <is>
          <t>BLEKINGE LÄN</t>
        </is>
      </c>
      <c r="G194" t="inlineStr">
        <is>
          <t>RONNEBY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30398-2025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46221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30227-2025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46221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47781-2024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46221</v>
      </c>
      <c r="F197" t="inlineStr">
        <is>
          <t>BLEKINGE LÄN</t>
        </is>
      </c>
      <c r="G197" t="inlineStr">
        <is>
          <t>RONNEBY</t>
        </is>
      </c>
      <c r="H197" t="inlineStr">
        <is>
          <t>Kommuner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46221</v>
      </c>
      <c r="F198" t="inlineStr">
        <is>
          <t>BLEKINGE LÄN</t>
        </is>
      </c>
      <c r="G198" t="inlineStr">
        <is>
          <t>RONNEBY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46221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22490-2023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46221</v>
      </c>
      <c r="F200" t="inlineStr">
        <is>
          <t>BLEKINGE LÄN</t>
        </is>
      </c>
      <c r="G200" t="inlineStr">
        <is>
          <t>RONNEBY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46221</v>
      </c>
      <c r="F201" t="inlineStr">
        <is>
          <t>BLEKINGE LÄN</t>
        </is>
      </c>
      <c r="G201" t="inlineStr">
        <is>
          <t>RONNEBY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31605-2025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46221</v>
      </c>
      <c r="F202" t="inlineStr">
        <is>
          <t>BLEKINGE LÄN</t>
        </is>
      </c>
      <c r="G202" t="inlineStr">
        <is>
          <t>RONNEBY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46221</v>
      </c>
      <c r="F203" t="inlineStr">
        <is>
          <t>BLEKINGE LÄN</t>
        </is>
      </c>
      <c r="G203" t="inlineStr">
        <is>
          <t>RONNEBY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19948-2023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46221</v>
      </c>
      <c r="F204" t="inlineStr">
        <is>
          <t>BLEKINGE LÄN</t>
        </is>
      </c>
      <c r="G204" t="inlineStr">
        <is>
          <t>RONNEBY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46221</v>
      </c>
      <c r="F205" t="inlineStr">
        <is>
          <t>BLEKINGE LÄN</t>
        </is>
      </c>
      <c r="G205" t="inlineStr">
        <is>
          <t>RONNEBY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32130-2025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46221</v>
      </c>
      <c r="F206" t="inlineStr">
        <is>
          <t>BLEKINGE LÄN</t>
        </is>
      </c>
      <c r="G206" t="inlineStr">
        <is>
          <t>RONNEBY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32142-2025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46221</v>
      </c>
      <c r="F207" t="inlineStr">
        <is>
          <t>BLEKINGE LÄN</t>
        </is>
      </c>
      <c r="G207" t="inlineStr">
        <is>
          <t>RONNEBY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33598-2025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46221</v>
      </c>
      <c r="F208" t="inlineStr">
        <is>
          <t>BLEKINGE LÄN</t>
        </is>
      </c>
      <c r="G208" t="inlineStr">
        <is>
          <t>RONNEBY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16094-2025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46221</v>
      </c>
      <c r="F209" t="inlineStr">
        <is>
          <t>BLEKINGE LÄN</t>
        </is>
      </c>
      <c r="G209" t="inlineStr">
        <is>
          <t>RONNEBY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14803-2025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45743</v>
      </c>
      <c r="E210" s="1" t="n">
        <v>46221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55351-2023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46221</v>
      </c>
      <c r="F211" t="inlineStr">
        <is>
          <t>BLEKINGE LÄN</t>
        </is>
      </c>
      <c r="G211" t="inlineStr">
        <is>
          <t>RONNEBY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46221</v>
      </c>
      <c r="F212" t="inlineStr">
        <is>
          <t>BLEKINGE LÄN</t>
        </is>
      </c>
      <c r="G212" t="inlineStr">
        <is>
          <t>RONNEBY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43291-2025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45910</v>
      </c>
      <c r="E213" s="1" t="n">
        <v>46221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45843</v>
      </c>
      <c r="E214" s="1" t="n">
        <v>46221</v>
      </c>
      <c r="F214" t="inlineStr">
        <is>
          <t>BLEKINGE LÄN</t>
        </is>
      </c>
      <c r="G214" t="inlineStr">
        <is>
          <t>RONNEBY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43143-2025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46221</v>
      </c>
      <c r="F215" t="inlineStr">
        <is>
          <t>BLEKINGE LÄN</t>
        </is>
      </c>
      <c r="G215" t="inlineStr">
        <is>
          <t>RONNEBY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46221</v>
      </c>
      <c r="F216" t="inlineStr">
        <is>
          <t>BLEKINGE LÄN</t>
        </is>
      </c>
      <c r="G216" t="inlineStr">
        <is>
          <t>RONNEBY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26231-2023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46221</v>
      </c>
      <c r="F217" t="inlineStr">
        <is>
          <t>BLEKINGE LÄN</t>
        </is>
      </c>
      <c r="G217" t="inlineStr">
        <is>
          <t>RONNEBY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29551-2022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44754</v>
      </c>
      <c r="E218" s="1" t="n">
        <v>46221</v>
      </c>
      <c r="F218" t="inlineStr">
        <is>
          <t>BLEKINGE LÄN</t>
        </is>
      </c>
      <c r="G218" t="inlineStr">
        <is>
          <t>RONNEBY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44229-2025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46221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33058-2025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46221</v>
      </c>
      <c r="F220" t="inlineStr">
        <is>
          <t>BLEKINGE LÄN</t>
        </is>
      </c>
      <c r="G220" t="inlineStr">
        <is>
          <t>RONNEBY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13984-2025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45739</v>
      </c>
      <c r="E221" s="1" t="n">
        <v>46221</v>
      </c>
      <c r="F221" t="inlineStr">
        <is>
          <t>BLEKINGE LÄN</t>
        </is>
      </c>
      <c r="G221" t="inlineStr">
        <is>
          <t>RONNEBY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46221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46221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46221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44225-2025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46221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46221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41034-2024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46221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46221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44967-2025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46221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34302-2025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46221</v>
      </c>
      <c r="F230" t="inlineStr">
        <is>
          <t>BLEKINGE LÄN</t>
        </is>
      </c>
      <c r="G230" t="inlineStr">
        <is>
          <t>RONNEBY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46221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34307-2025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46221</v>
      </c>
      <c r="F232" t="inlineStr">
        <is>
          <t>BLEKINGE LÄN</t>
        </is>
      </c>
      <c r="G232" t="inlineStr">
        <is>
          <t>RONNEBY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45317-2025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45921</v>
      </c>
      <c r="E233" s="1" t="n">
        <v>46221</v>
      </c>
      <c r="F233" t="inlineStr">
        <is>
          <t>BLEKINGE LÄN</t>
        </is>
      </c>
      <c r="G233" t="inlineStr">
        <is>
          <t>RONNEBY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21989-2023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46221</v>
      </c>
      <c r="F234" t="inlineStr">
        <is>
          <t>BLEKINGE LÄN</t>
        </is>
      </c>
      <c r="G234" t="inlineStr">
        <is>
          <t>RONNEBY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36724-2024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45537</v>
      </c>
      <c r="E235" s="1" t="n">
        <v>46221</v>
      </c>
      <c r="F235" t="inlineStr">
        <is>
          <t>BLEKINGE LÄN</t>
        </is>
      </c>
      <c r="G235" t="inlineStr">
        <is>
          <t>RONNEBY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33986-2025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45843</v>
      </c>
      <c r="E236" s="1" t="n">
        <v>46221</v>
      </c>
      <c r="F236" t="inlineStr">
        <is>
          <t>BLEKINGE LÄN</t>
        </is>
      </c>
      <c r="G236" t="inlineStr">
        <is>
          <t>RONNEBY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46221</v>
      </c>
      <c r="F237" t="inlineStr">
        <is>
          <t>BLEKINGE LÄN</t>
        </is>
      </c>
      <c r="G237" t="inlineStr">
        <is>
          <t>RONNEBY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46221</v>
      </c>
      <c r="F238" t="inlineStr">
        <is>
          <t>BLEKINGE LÄN</t>
        </is>
      </c>
      <c r="G238" t="inlineStr">
        <is>
          <t>RONNEBY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46221</v>
      </c>
      <c r="F239" t="inlineStr">
        <is>
          <t>BLEKINGE LÄN</t>
        </is>
      </c>
      <c r="G239" t="inlineStr">
        <is>
          <t>RONNEBY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14101-2023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46221</v>
      </c>
      <c r="F240" t="inlineStr">
        <is>
          <t>BLEKINGE LÄN</t>
        </is>
      </c>
      <c r="G240" t="inlineStr">
        <is>
          <t>RONNEBY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14102-2023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45009</v>
      </c>
      <c r="E241" s="1" t="n">
        <v>46221</v>
      </c>
      <c r="F241" t="inlineStr">
        <is>
          <t>BLEKINGE LÄN</t>
        </is>
      </c>
      <c r="G241" t="inlineStr">
        <is>
          <t>RONNEBY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46299-2025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46221</v>
      </c>
      <c r="F242" t="inlineStr">
        <is>
          <t>BLEKINGE LÄN</t>
        </is>
      </c>
      <c r="G242" t="inlineStr">
        <is>
          <t>RONNEBY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7726-2025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46221</v>
      </c>
      <c r="F243" t="inlineStr">
        <is>
          <t>BLEKINGE LÄN</t>
        </is>
      </c>
      <c r="G243" t="inlineStr">
        <is>
          <t>RONNEBY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14694-2023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45012</v>
      </c>
      <c r="E244" s="1" t="n">
        <v>46221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statliga verk och myndigheter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6510-2023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46221</v>
      </c>
      <c r="F245" t="inlineStr">
        <is>
          <t>BLEKINGE LÄN</t>
        </is>
      </c>
      <c r="G245" t="inlineStr">
        <is>
          <t>RONNEBY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35580-2025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45856</v>
      </c>
      <c r="E246" s="1" t="n">
        <v>46221</v>
      </c>
      <c r="F246" t="inlineStr">
        <is>
          <t>BLEKINGE LÄN</t>
        </is>
      </c>
      <c r="G246" t="inlineStr">
        <is>
          <t>RONNEBY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46221</v>
      </c>
      <c r="F247" t="inlineStr">
        <is>
          <t>BLEKINGE LÄN</t>
        </is>
      </c>
      <c r="G247" t="inlineStr">
        <is>
          <t>RONNEBY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46221</v>
      </c>
      <c r="F248" t="inlineStr">
        <is>
          <t>BLEKINGE LÄN</t>
        </is>
      </c>
      <c r="G248" t="inlineStr">
        <is>
          <t>RONNEBY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46221</v>
      </c>
      <c r="F249" t="inlineStr">
        <is>
          <t>BLEKINGE LÄN</t>
        </is>
      </c>
      <c r="G249" t="inlineStr">
        <is>
          <t>RONNEBY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47885-2025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46221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47968-2025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46221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47904-2025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46221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46221</v>
      </c>
      <c r="F253" t="inlineStr">
        <is>
          <t>BLEKINGE LÄN</t>
        </is>
      </c>
      <c r="G253" t="inlineStr">
        <is>
          <t>RONNEBY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47960-2025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46221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28896-2024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45480</v>
      </c>
      <c r="E255" s="1" t="n">
        <v>46221</v>
      </c>
      <c r="F255" t="inlineStr">
        <is>
          <t>BLEKINGE LÄN</t>
        </is>
      </c>
      <c r="G255" t="inlineStr">
        <is>
          <t>RONNEBY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46221</v>
      </c>
      <c r="F256" t="inlineStr">
        <is>
          <t>BLEKINGE LÄN</t>
        </is>
      </c>
      <c r="G256" t="inlineStr">
        <is>
          <t>RONNEBY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20997-2023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45061</v>
      </c>
      <c r="E257" s="1" t="n">
        <v>46221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44713</v>
      </c>
      <c r="E258" s="1" t="n">
        <v>46221</v>
      </c>
      <c r="F258" t="inlineStr">
        <is>
          <t>BLEKINGE LÄN</t>
        </is>
      </c>
      <c r="G258" t="inlineStr">
        <is>
          <t>RONNEBY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48998-2025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46221</v>
      </c>
      <c r="F259" t="inlineStr">
        <is>
          <t>BLEKINGE LÄN</t>
        </is>
      </c>
      <c r="G259" t="inlineStr">
        <is>
          <t>RONNEBY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1183-2025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45653</v>
      </c>
      <c r="E260" s="1" t="n">
        <v>46221</v>
      </c>
      <c r="F260" t="inlineStr">
        <is>
          <t>BLEKINGE LÄN</t>
        </is>
      </c>
      <c r="G260" t="inlineStr">
        <is>
          <t>RONNEBY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49005-2025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46221</v>
      </c>
      <c r="F261" t="inlineStr">
        <is>
          <t>BLEKINGE LÄN</t>
        </is>
      </c>
      <c r="G261" t="inlineStr">
        <is>
          <t>RONNEBY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39468-2023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46221</v>
      </c>
      <c r="F262" t="inlineStr">
        <is>
          <t>BLEKINGE LÄN</t>
        </is>
      </c>
      <c r="G262" t="inlineStr">
        <is>
          <t>RONNEBY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9637-2025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46221</v>
      </c>
      <c r="F263" t="inlineStr">
        <is>
          <t>BLEKINGE LÄN</t>
        </is>
      </c>
      <c r="G263" t="inlineStr">
        <is>
          <t>RONNEBY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13034-2023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46221</v>
      </c>
      <c r="F264" t="inlineStr">
        <is>
          <t>BLEKINGE LÄN</t>
        </is>
      </c>
      <c r="G264" t="inlineStr">
        <is>
          <t>RONNEBY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61329-2024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46221</v>
      </c>
      <c r="F265" t="inlineStr">
        <is>
          <t>BLEKINGE LÄN</t>
        </is>
      </c>
      <c r="G265" t="inlineStr">
        <is>
          <t>RONNEBY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42167-2023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45178</v>
      </c>
      <c r="E266" s="1" t="n">
        <v>46221</v>
      </c>
      <c r="F266" t="inlineStr">
        <is>
          <t>BLEKINGE LÄN</t>
        </is>
      </c>
      <c r="G266" t="inlineStr">
        <is>
          <t>RONNEBY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51224-2025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46221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17599-2025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46221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51279-2025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45950</v>
      </c>
      <c r="E269" s="1" t="n">
        <v>46221</v>
      </c>
      <c r="F269" t="inlineStr">
        <is>
          <t>BLEKINGE LÄN</t>
        </is>
      </c>
      <c r="G269" t="inlineStr">
        <is>
          <t>RONNEBY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31687-2023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46221</v>
      </c>
      <c r="F270" t="inlineStr">
        <is>
          <t>BLEKINGE LÄN</t>
        </is>
      </c>
      <c r="G270" t="inlineStr">
        <is>
          <t>RONNEBY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7508-2026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46221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7516-2026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46221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51569-2025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46221</v>
      </c>
      <c r="F273" t="inlineStr">
        <is>
          <t>BLEKINGE LÄN</t>
        </is>
      </c>
      <c r="G273" t="inlineStr">
        <is>
          <t>RONNEBY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52881-2025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46221</v>
      </c>
      <c r="F274" t="inlineStr">
        <is>
          <t>BLEKINGE LÄN</t>
        </is>
      </c>
      <c r="G274" t="inlineStr">
        <is>
          <t>RONNEBY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8747-2026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46221</v>
      </c>
      <c r="F275" t="inlineStr">
        <is>
          <t>BLEKINGE LÄN</t>
        </is>
      </c>
      <c r="G275" t="inlineStr">
        <is>
          <t>RONNEBY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40300-2022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44822</v>
      </c>
      <c r="E276" s="1" t="n">
        <v>46221</v>
      </c>
      <c r="F276" t="inlineStr">
        <is>
          <t>BLEKINGE LÄN</t>
        </is>
      </c>
      <c r="G276" t="inlineStr">
        <is>
          <t>RONNEBY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9096-2026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46221</v>
      </c>
      <c r="F277" t="inlineStr">
        <is>
          <t>BLEKINGE LÄN</t>
        </is>
      </c>
      <c r="G277" t="inlineStr">
        <is>
          <t>RONNEBY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9452-2026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46221</v>
      </c>
      <c r="F278" t="inlineStr">
        <is>
          <t>BLEKINGE LÄN</t>
        </is>
      </c>
      <c r="G278" t="inlineStr">
        <is>
          <t>RONNEBY</t>
        </is>
      </c>
      <c r="H278" t="inlineStr">
        <is>
          <t>Övriga Aktiebolag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9448-2026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46221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44987</v>
      </c>
      <c r="E280" s="1" t="n">
        <v>46221</v>
      </c>
      <c r="F280" t="inlineStr">
        <is>
          <t>BLEKINGE LÄN</t>
        </is>
      </c>
      <c r="G280" t="inlineStr">
        <is>
          <t>RONNEBY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46221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29232-2024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45482</v>
      </c>
      <c r="E282" s="1" t="n">
        <v>46221</v>
      </c>
      <c r="F282" t="inlineStr">
        <is>
          <t>BLEKINGE LÄN</t>
        </is>
      </c>
      <c r="G282" t="inlineStr">
        <is>
          <t>RONNEBY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46221</v>
      </c>
      <c r="F283" t="inlineStr">
        <is>
          <t>BLEKINGE LÄN</t>
        </is>
      </c>
      <c r="G283" t="inlineStr">
        <is>
          <t>RONNEBY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46221</v>
      </c>
      <c r="F284" t="inlineStr">
        <is>
          <t>BLEKINGE LÄN</t>
        </is>
      </c>
      <c r="G284" t="inlineStr">
        <is>
          <t>RONNEBY</t>
        </is>
      </c>
      <c r="H284" t="inlineStr">
        <is>
          <t>Kyrkan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10567-2026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46221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24841-2023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46221</v>
      </c>
      <c r="F286" t="inlineStr">
        <is>
          <t>BLEKINGE LÄN</t>
        </is>
      </c>
      <c r="G286" t="inlineStr">
        <is>
          <t>RONNEBY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45367-2023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45193</v>
      </c>
      <c r="E287" s="1" t="n">
        <v>46221</v>
      </c>
      <c r="F287" t="inlineStr">
        <is>
          <t>BLEKINGE LÄN</t>
        </is>
      </c>
      <c r="G287" t="inlineStr">
        <is>
          <t>RONNEBY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45409-2023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45194</v>
      </c>
      <c r="E288" s="1" t="n">
        <v>46221</v>
      </c>
      <c r="F288" t="inlineStr">
        <is>
          <t>BLEKINGE LÄN</t>
        </is>
      </c>
      <c r="G288" t="inlineStr">
        <is>
          <t>RONNEBY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11067-2026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46221</v>
      </c>
      <c r="F289" t="inlineStr">
        <is>
          <t>BLEKINGE LÄN</t>
        </is>
      </c>
      <c r="G289" t="inlineStr">
        <is>
          <t>RONNEBY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40501-2024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46221</v>
      </c>
      <c r="F290" t="inlineStr">
        <is>
          <t>BLEKINGE LÄN</t>
        </is>
      </c>
      <c r="G290" t="inlineStr">
        <is>
          <t>RONNEBY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46221</v>
      </c>
      <c r="F291" t="inlineStr">
        <is>
          <t>BLEKINGE LÄN</t>
        </is>
      </c>
      <c r="G291" t="inlineStr">
        <is>
          <t>RONNEBY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10803-2026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46221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10804-2026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46078</v>
      </c>
      <c r="E293" s="1" t="n">
        <v>46221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11104-2026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46079</v>
      </c>
      <c r="E294" s="1" t="n">
        <v>46221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56139-2025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46221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28704-2022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44748</v>
      </c>
      <c r="E296" s="1" t="n">
        <v>46221</v>
      </c>
      <c r="F296" t="inlineStr">
        <is>
          <t>BLEKINGE LÄN</t>
        </is>
      </c>
      <c r="G296" t="inlineStr">
        <is>
          <t>RONNEBY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45743</v>
      </c>
      <c r="E297" s="1" t="n">
        <v>46221</v>
      </c>
      <c r="F297" t="inlineStr">
        <is>
          <t>BLEKINGE LÄN</t>
        </is>
      </c>
      <c r="G297" t="inlineStr">
        <is>
          <t>RONNEBY</t>
        </is>
      </c>
      <c r="H297" t="inlineStr">
        <is>
          <t>Kommuner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11106-2026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46221</v>
      </c>
      <c r="F298" t="inlineStr">
        <is>
          <t>BLEKINGE LÄN</t>
        </is>
      </c>
      <c r="G298" t="inlineStr">
        <is>
          <t>RONNEBY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11112-2026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46221</v>
      </c>
      <c r="F299" t="inlineStr">
        <is>
          <t>BLEKINGE LÄN</t>
        </is>
      </c>
      <c r="G299" t="inlineStr">
        <is>
          <t>RONNEBY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10813-2026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46221</v>
      </c>
      <c r="F300" t="inlineStr">
        <is>
          <t>BLEKINGE LÄN</t>
        </is>
      </c>
      <c r="G300" t="inlineStr">
        <is>
          <t>RONNEBY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10807-2026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46078</v>
      </c>
      <c r="E301" s="1" t="n">
        <v>46221</v>
      </c>
      <c r="F301" t="inlineStr">
        <is>
          <t>BLEKINGE LÄN</t>
        </is>
      </c>
      <c r="G301" t="inlineStr">
        <is>
          <t>RONNEBY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46221</v>
      </c>
      <c r="F302" t="inlineStr">
        <is>
          <t>BLEKINGE LÄN</t>
        </is>
      </c>
      <c r="G302" t="inlineStr">
        <is>
          <t>RONNEBY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46221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56976-2025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46221</v>
      </c>
      <c r="F304" t="inlineStr">
        <is>
          <t>BLEKINGE LÄN</t>
        </is>
      </c>
      <c r="G304" t="inlineStr">
        <is>
          <t>RONNEBY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46221</v>
      </c>
      <c r="F305" t="inlineStr">
        <is>
          <t>BLEKINGE LÄN</t>
        </is>
      </c>
      <c r="G305" t="inlineStr">
        <is>
          <t>RONNEBY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62278-2022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44916</v>
      </c>
      <c r="E306" s="1" t="n">
        <v>46221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46221</v>
      </c>
      <c r="F307" t="inlineStr">
        <is>
          <t>BLEKINGE LÄN</t>
        </is>
      </c>
      <c r="G307" t="inlineStr">
        <is>
          <t>RONNEBY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57738-2025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46221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50792-2022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44862</v>
      </c>
      <c r="E309" s="1" t="n">
        <v>46221</v>
      </c>
      <c r="F309" t="inlineStr">
        <is>
          <t>BLEKINGE LÄN</t>
        </is>
      </c>
      <c r="G309" t="inlineStr">
        <is>
          <t>RONNEBY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46221</v>
      </c>
      <c r="F310" t="inlineStr">
        <is>
          <t>BLEKINGE LÄN</t>
        </is>
      </c>
      <c r="G310" t="inlineStr">
        <is>
          <t>RONNEBY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58648-2025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45986</v>
      </c>
      <c r="E311" s="1" t="n">
        <v>46221</v>
      </c>
      <c r="F311" t="inlineStr">
        <is>
          <t>BLEKINGE LÄN</t>
        </is>
      </c>
      <c r="G311" t="inlineStr">
        <is>
          <t>RONNEBY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46221</v>
      </c>
      <c r="F312" t="inlineStr">
        <is>
          <t>BLEKINGE LÄN</t>
        </is>
      </c>
      <c r="G312" t="inlineStr">
        <is>
          <t>RONNEBY</t>
        </is>
      </c>
      <c r="I312" t="n">
        <v>11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46221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61243-2023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46221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59846-2025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46221</v>
      </c>
      <c r="F315" t="inlineStr">
        <is>
          <t>BLEKINGE LÄN</t>
        </is>
      </c>
      <c r="G315" t="inlineStr">
        <is>
          <t>RONNEBY</t>
        </is>
      </c>
      <c r="I315" t="n">
        <v>14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61730-2022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46221</v>
      </c>
      <c r="F316" t="inlineStr">
        <is>
          <t>BLEKINGE LÄN</t>
        </is>
      </c>
      <c r="G316" t="inlineStr">
        <is>
          <t>RONNEBY</t>
        </is>
      </c>
      <c r="I316" t="n">
        <v>9.6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45090</v>
      </c>
      <c r="E317" s="1" t="n">
        <v>46221</v>
      </c>
      <c r="F317" t="inlineStr">
        <is>
          <t>BLEKINGE LÄN</t>
        </is>
      </c>
      <c r="G317" t="inlineStr">
        <is>
          <t>RONNEBY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46221</v>
      </c>
      <c r="F318" t="inlineStr">
        <is>
          <t>BLEKINGE LÄN</t>
        </is>
      </c>
      <c r="G318" t="inlineStr">
        <is>
          <t>RONNEBY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60348-2025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46221</v>
      </c>
      <c r="F319" t="inlineStr">
        <is>
          <t>BLEKINGE LÄN</t>
        </is>
      </c>
      <c r="G319" t="inlineStr">
        <is>
          <t>RONNEBY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46221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44882</v>
      </c>
      <c r="E321" s="1" t="n">
        <v>46221</v>
      </c>
      <c r="F321" t="inlineStr">
        <is>
          <t>BLEKINGE LÄN</t>
        </is>
      </c>
      <c r="G321" t="inlineStr">
        <is>
          <t>RONNEBY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53366-2021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46221</v>
      </c>
      <c r="F322" t="inlineStr">
        <is>
          <t>BLEKINGE LÄN</t>
        </is>
      </c>
      <c r="G322" t="inlineStr">
        <is>
          <t>RONNEBY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46221</v>
      </c>
      <c r="F323" t="inlineStr">
        <is>
          <t>BLEKINGE LÄN</t>
        </is>
      </c>
      <c r="G323" t="inlineStr">
        <is>
          <t>RONNEBY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61840-2023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45266</v>
      </c>
      <c r="E324" s="1" t="n">
        <v>46221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44925</v>
      </c>
      <c r="E325" s="1" t="n">
        <v>46221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53817-2022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46221</v>
      </c>
      <c r="F326" t="inlineStr">
        <is>
          <t>BLEKINGE LÄN</t>
        </is>
      </c>
      <c r="G326" t="inlineStr">
        <is>
          <t>RONNEBY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46221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50201-2024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46221</v>
      </c>
      <c r="F328" t="inlineStr">
        <is>
          <t>BLEKINGE LÄN</t>
        </is>
      </c>
      <c r="G328" t="inlineStr">
        <is>
          <t>RONNEBY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20594-2024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46221</v>
      </c>
      <c r="F329" t="inlineStr">
        <is>
          <t>BLEKINGE LÄN</t>
        </is>
      </c>
      <c r="G329" t="inlineStr">
        <is>
          <t>RONNEBY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62465-2025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46007</v>
      </c>
      <c r="E330" s="1" t="n">
        <v>46221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62427-2025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46221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6543-2023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46221</v>
      </c>
      <c r="F332" t="inlineStr">
        <is>
          <t>BLEKINGE LÄN</t>
        </is>
      </c>
      <c r="G332" t="inlineStr">
        <is>
          <t>RONNEBY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1430-2024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46221</v>
      </c>
      <c r="F333" t="inlineStr">
        <is>
          <t>BLEKINGE LÄN</t>
        </is>
      </c>
      <c r="G333" t="inlineStr">
        <is>
          <t>RONNEBY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46221</v>
      </c>
      <c r="F334" t="inlineStr">
        <is>
          <t>BLEKINGE LÄN</t>
        </is>
      </c>
      <c r="G334" t="inlineStr">
        <is>
          <t>RONNEBY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45407-2023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46221</v>
      </c>
      <c r="F335" t="inlineStr">
        <is>
          <t>BLEKINGE LÄN</t>
        </is>
      </c>
      <c r="G335" t="inlineStr">
        <is>
          <t>RONNEBY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33558-2023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45118</v>
      </c>
      <c r="E336" s="1" t="n">
        <v>46221</v>
      </c>
      <c r="F336" t="inlineStr">
        <is>
          <t>BLEKINGE LÄN</t>
        </is>
      </c>
      <c r="G336" t="inlineStr">
        <is>
          <t>RONNEBY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6660-2024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46221</v>
      </c>
      <c r="F337" t="inlineStr">
        <is>
          <t>BLEKINGE LÄN</t>
        </is>
      </c>
      <c r="G337" t="inlineStr">
        <is>
          <t>RONNEBY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40068-2023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46221</v>
      </c>
      <c r="F338" t="inlineStr">
        <is>
          <t>BLEKINGE LÄN</t>
        </is>
      </c>
      <c r="G338" t="inlineStr">
        <is>
          <t>RONNEBY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15206-2026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46221</v>
      </c>
      <c r="F339" t="inlineStr">
        <is>
          <t>BLEKINGE LÄN</t>
        </is>
      </c>
      <c r="G339" t="inlineStr">
        <is>
          <t>RONNEBY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15095-2026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46221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6819-2024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45342</v>
      </c>
      <c r="E341" s="1" t="n">
        <v>46221</v>
      </c>
      <c r="F341" t="inlineStr">
        <is>
          <t>BLEKINGE LÄN</t>
        </is>
      </c>
      <c r="G341" t="inlineStr">
        <is>
          <t>RONNEBY</t>
        </is>
      </c>
      <c r="I341" t="n">
        <v>15.2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34451-2023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45139</v>
      </c>
      <c r="E342" s="1" t="n">
        <v>46221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15102-2026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46221</v>
      </c>
      <c r="F343" t="inlineStr">
        <is>
          <t>BLEKINGE LÄN</t>
        </is>
      </c>
      <c r="G343" t="inlineStr">
        <is>
          <t>RONNEBY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31589-2023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46221</v>
      </c>
      <c r="F344" t="inlineStr">
        <is>
          <t>BLEKINGE LÄN</t>
        </is>
      </c>
      <c r="G344" t="inlineStr">
        <is>
          <t>RONNEBY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15091-2026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46221</v>
      </c>
      <c r="F345" t="inlineStr">
        <is>
          <t>BLEKINGE LÄN</t>
        </is>
      </c>
      <c r="G345" t="inlineStr">
        <is>
          <t>RONNEBY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32537-2023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46221</v>
      </c>
      <c r="F346" t="inlineStr">
        <is>
          <t>BLEKINGE LÄN</t>
        </is>
      </c>
      <c r="G346" t="inlineStr">
        <is>
          <t>RONNEBY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35589-2023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46221</v>
      </c>
      <c r="F347" t="inlineStr">
        <is>
          <t>BLEKINGE LÄN</t>
        </is>
      </c>
      <c r="G347" t="inlineStr">
        <is>
          <t>RONNEBY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45602</v>
      </c>
      <c r="E348" s="1" t="n">
        <v>46221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21206-2023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46221</v>
      </c>
      <c r="F349" t="inlineStr">
        <is>
          <t>BLEKINGE LÄN</t>
        </is>
      </c>
      <c r="G349" t="inlineStr">
        <is>
          <t>RONNEBY</t>
        </is>
      </c>
      <c r="H349" t="inlineStr">
        <is>
          <t>Kommuner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29434-2022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44753</v>
      </c>
      <c r="E350" s="1" t="n">
        <v>46221</v>
      </c>
      <c r="F350" t="inlineStr">
        <is>
          <t>BLEKINGE LÄN</t>
        </is>
      </c>
      <c r="G350" t="inlineStr">
        <is>
          <t>RONNEBY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13224-2023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46221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15111-2026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46104</v>
      </c>
      <c r="E352" s="1" t="n">
        <v>46221</v>
      </c>
      <c r="F352" t="inlineStr">
        <is>
          <t>BLEKINGE LÄN</t>
        </is>
      </c>
      <c r="G352" t="inlineStr">
        <is>
          <t>RONNEBY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23820-2023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46221</v>
      </c>
      <c r="F353" t="inlineStr">
        <is>
          <t>BLEKINGE LÄN</t>
        </is>
      </c>
      <c r="G353" t="inlineStr">
        <is>
          <t>RONNEBY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16512-2026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46221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19438-2024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46221</v>
      </c>
      <c r="F355" t="inlineStr">
        <is>
          <t>BLEKINGE LÄN</t>
        </is>
      </c>
      <c r="G355" t="inlineStr">
        <is>
          <t>RONNEBY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16492-2026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46221</v>
      </c>
      <c r="F356" t="inlineStr">
        <is>
          <t>BLEKINGE LÄN</t>
        </is>
      </c>
      <c r="G356" t="inlineStr">
        <is>
          <t>RONNEBY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16500-2026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46221</v>
      </c>
      <c r="F357" t="inlineStr">
        <is>
          <t>BLEKINGE LÄN</t>
        </is>
      </c>
      <c r="G357" t="inlineStr">
        <is>
          <t>RONNEBY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36368-2023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45152</v>
      </c>
      <c r="E358" s="1" t="n">
        <v>46221</v>
      </c>
      <c r="F358" t="inlineStr">
        <is>
          <t>BLEKINGE LÄN</t>
        </is>
      </c>
      <c r="G358" t="inlineStr">
        <is>
          <t>RONNEBY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46079-2024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45581</v>
      </c>
      <c r="E359" s="1" t="n">
        <v>46221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46119</v>
      </c>
      <c r="E360" s="1" t="n">
        <v>46221</v>
      </c>
      <c r="F360" t="inlineStr">
        <is>
          <t>BLEKINGE LÄN</t>
        </is>
      </c>
      <c r="G360" t="inlineStr">
        <is>
          <t>RONNEBY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59840-2021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44494</v>
      </c>
      <c r="E361" s="1" t="n">
        <v>46221</v>
      </c>
      <c r="F361" t="inlineStr">
        <is>
          <t>BLEKINGE LÄN</t>
        </is>
      </c>
      <c r="G361" t="inlineStr">
        <is>
          <t>RONNEBY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7725-2025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46221</v>
      </c>
      <c r="F362" t="inlineStr">
        <is>
          <t>BLEKINGE LÄN</t>
        </is>
      </c>
      <c r="G362" t="inlineStr">
        <is>
          <t>RONNEBY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29015-2023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45104</v>
      </c>
      <c r="E363" s="1" t="n">
        <v>46221</v>
      </c>
      <c r="F363" t="inlineStr">
        <is>
          <t>BLEKINGE LÄN</t>
        </is>
      </c>
      <c r="G363" t="inlineStr">
        <is>
          <t>RONNEBY</t>
        </is>
      </c>
      <c r="H363" t="inlineStr">
        <is>
          <t>Övriga Aktiebolag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24547-2024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45460</v>
      </c>
      <c r="E364" s="1" t="n">
        <v>46221</v>
      </c>
      <c r="F364" t="inlineStr">
        <is>
          <t>BLEKINGE LÄN</t>
        </is>
      </c>
      <c r="G364" t="inlineStr">
        <is>
          <t>RONNEBY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18329-2026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46221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9959-2025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46221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18305-2026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46221</v>
      </c>
      <c r="F367" t="inlineStr">
        <is>
          <t>BLEKINGE LÄN</t>
        </is>
      </c>
      <c r="G367" t="inlineStr">
        <is>
          <t>RONNEBY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31501-2023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45115</v>
      </c>
      <c r="E368" s="1" t="n">
        <v>46221</v>
      </c>
      <c r="F368" t="inlineStr">
        <is>
          <t>BLEKINGE LÄN</t>
        </is>
      </c>
      <c r="G368" t="inlineStr">
        <is>
          <t>RONNEBY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46221</v>
      </c>
      <c r="F369" t="inlineStr">
        <is>
          <t>BLEKINGE LÄN</t>
        </is>
      </c>
      <c r="G369" t="inlineStr">
        <is>
          <t>RONNEBY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38341-2024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46221</v>
      </c>
      <c r="F370" t="inlineStr">
        <is>
          <t>BLEKINGE LÄN</t>
        </is>
      </c>
      <c r="G370" t="inlineStr">
        <is>
          <t>RONNEBY</t>
        </is>
      </c>
      <c r="H370" t="inlineStr">
        <is>
          <t>Övriga Aktiebolag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45670</v>
      </c>
      <c r="E371" s="1" t="n">
        <v>46221</v>
      </c>
      <c r="F371" t="inlineStr">
        <is>
          <t>BLEKINGE LÄN</t>
        </is>
      </c>
      <c r="G371" t="inlineStr">
        <is>
          <t>RONNEBY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47775-2024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46221</v>
      </c>
      <c r="F372" t="inlineStr">
        <is>
          <t>BLEKINGE LÄN</t>
        </is>
      </c>
      <c r="G372" t="inlineStr">
        <is>
          <t>RONNEBY</t>
        </is>
      </c>
      <c r="H372" t="inlineStr">
        <is>
          <t>Kommuner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19464-2026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46221</v>
      </c>
      <c r="F373" t="inlineStr">
        <is>
          <t>BLEKINGE LÄN</t>
        </is>
      </c>
      <c r="G373" t="inlineStr">
        <is>
          <t>RONNEBY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36202-2024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45534</v>
      </c>
      <c r="E374" s="1" t="n">
        <v>46221</v>
      </c>
      <c r="F374" t="inlineStr">
        <is>
          <t>BLEKINGE LÄN</t>
        </is>
      </c>
      <c r="G374" t="inlineStr">
        <is>
          <t>RONNEBY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20585-2025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45775</v>
      </c>
      <c r="E375" s="1" t="n">
        <v>46221</v>
      </c>
      <c r="F375" t="inlineStr">
        <is>
          <t>BLEKINGE LÄN</t>
        </is>
      </c>
      <c r="G375" t="inlineStr">
        <is>
          <t>RONNEBY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31758-2023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45118</v>
      </c>
      <c r="E376" s="1" t="n">
        <v>46221</v>
      </c>
      <c r="F376" t="inlineStr">
        <is>
          <t>BLEKINGE LÄN</t>
        </is>
      </c>
      <c r="G376" t="inlineStr">
        <is>
          <t>RONNEBY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50198-2024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46221</v>
      </c>
      <c r="F377" t="inlineStr">
        <is>
          <t>BLEKINGE LÄN</t>
        </is>
      </c>
      <c r="G377" t="inlineStr">
        <is>
          <t>RONNEBY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46221</v>
      </c>
      <c r="F378" t="inlineStr">
        <is>
          <t>BLEKINGE LÄN</t>
        </is>
      </c>
      <c r="G378" t="inlineStr">
        <is>
          <t>RONNEBY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54248-2025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45964</v>
      </c>
      <c r="E379" s="1" t="n">
        <v>46221</v>
      </c>
      <c r="F379" t="inlineStr">
        <is>
          <t>BLEKINGE LÄN</t>
        </is>
      </c>
      <c r="G379" t="inlineStr">
        <is>
          <t>RONNEBY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46221</v>
      </c>
      <c r="F380" t="inlineStr">
        <is>
          <t>BLEKINGE LÄN</t>
        </is>
      </c>
      <c r="G380" t="inlineStr">
        <is>
          <t>RONNEBY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47971-2025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46221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28962-2025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46221</v>
      </c>
      <c r="F382" t="inlineStr">
        <is>
          <t>BLEKINGE LÄN</t>
        </is>
      </c>
      <c r="G382" t="inlineStr">
        <is>
          <t>RONNEBY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52637-2024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46221</v>
      </c>
      <c r="F383" t="inlineStr">
        <is>
          <t>BLEKINGE LÄN</t>
        </is>
      </c>
      <c r="G383" t="inlineStr">
        <is>
          <t>RONNEBY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45673</v>
      </c>
      <c r="E384" s="1" t="n">
        <v>46221</v>
      </c>
      <c r="F384" t="inlineStr">
        <is>
          <t>BLEKINGE LÄN</t>
        </is>
      </c>
      <c r="G384" t="inlineStr">
        <is>
          <t>RONNEBY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41863-2025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46221</v>
      </c>
      <c r="F385" t="inlineStr">
        <is>
          <t>BLEKINGE LÄN</t>
        </is>
      </c>
      <c r="G385" t="inlineStr">
        <is>
          <t>RONNEBY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47160-2025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45929</v>
      </c>
      <c r="E386" s="1" t="n">
        <v>46221</v>
      </c>
      <c r="F386" t="inlineStr">
        <is>
          <t>BLEKINGE LÄN</t>
        </is>
      </c>
      <c r="G386" t="inlineStr">
        <is>
          <t>RONNEBY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41660-2024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45560</v>
      </c>
      <c r="E387" s="1" t="n">
        <v>46221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45440</v>
      </c>
      <c r="E388" s="1" t="n">
        <v>46221</v>
      </c>
      <c r="F388" t="inlineStr">
        <is>
          <t>BLEKINGE LÄN</t>
        </is>
      </c>
      <c r="G388" t="inlineStr">
        <is>
          <t>RONNEBY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56435-2024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45625</v>
      </c>
      <c r="E389" s="1" t="n">
        <v>46221</v>
      </c>
      <c r="F389" t="inlineStr">
        <is>
          <t>BLEKINGE LÄN</t>
        </is>
      </c>
      <c r="G389" t="inlineStr">
        <is>
          <t>RONNEBY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41054-2023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46221</v>
      </c>
      <c r="F390" t="inlineStr">
        <is>
          <t>BLEKINGE LÄN</t>
        </is>
      </c>
      <c r="G390" t="inlineStr">
        <is>
          <t>RONNEBY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11257-2023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46221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15563-2025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46221</v>
      </c>
      <c r="F392" t="inlineStr">
        <is>
          <t>BLEKINGE LÄN</t>
        </is>
      </c>
      <c r="G392" t="inlineStr">
        <is>
          <t>RONNEBY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46221</v>
      </c>
      <c r="F393" t="inlineStr">
        <is>
          <t>BLEKINGE LÄN</t>
        </is>
      </c>
      <c r="G393" t="inlineStr">
        <is>
          <t>RONNEBY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46221</v>
      </c>
      <c r="F394" t="inlineStr">
        <is>
          <t>BLEKINGE LÄN</t>
        </is>
      </c>
      <c r="G394" t="inlineStr">
        <is>
          <t>RONNEBY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46221</v>
      </c>
      <c r="F395" t="inlineStr">
        <is>
          <t>BLEKINGE LÄN</t>
        </is>
      </c>
      <c r="G395" t="inlineStr">
        <is>
          <t>RONNEBY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39426-2025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46221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39247-2025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46221</v>
      </c>
      <c r="F397" t="inlineStr">
        <is>
          <t>BLEKINGE LÄN</t>
        </is>
      </c>
      <c r="G397" t="inlineStr">
        <is>
          <t>RONNEBY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6618-2023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44966</v>
      </c>
      <c r="E398" s="1" t="n">
        <v>46221</v>
      </c>
      <c r="F398" t="inlineStr">
        <is>
          <t>BLEKINGE LÄN</t>
        </is>
      </c>
      <c r="G398" t="inlineStr">
        <is>
          <t>RONNEBY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23424-2023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45076</v>
      </c>
      <c r="E399" s="1" t="n">
        <v>46221</v>
      </c>
      <c r="F399" t="inlineStr">
        <is>
          <t>BLEKINGE LÄN</t>
        </is>
      </c>
      <c r="G399" t="inlineStr">
        <is>
          <t>RONNEBY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20546-2026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46221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7347-2022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44606</v>
      </c>
      <c r="E401" s="1" t="n">
        <v>46221</v>
      </c>
      <c r="F401" t="inlineStr">
        <is>
          <t>BLEKINGE LÄN</t>
        </is>
      </c>
      <c r="G401" t="inlineStr">
        <is>
          <t>RONNEBY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41875-2022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44829</v>
      </c>
      <c r="E402" s="1" t="n">
        <v>46221</v>
      </c>
      <c r="F402" t="inlineStr">
        <is>
          <t>BLEKINGE LÄN</t>
        </is>
      </c>
      <c r="G402" t="inlineStr">
        <is>
          <t>RONNEBY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44762</v>
      </c>
      <c r="E403" s="1" t="n">
        <v>46221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20551-2026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46221</v>
      </c>
      <c r="F404" t="inlineStr">
        <is>
          <t>BLEKINGE LÄN</t>
        </is>
      </c>
      <c r="G404" t="inlineStr">
        <is>
          <t>RONNEBY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15196-2022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44658</v>
      </c>
      <c r="E405" s="1" t="n">
        <v>46221</v>
      </c>
      <c r="F405" t="inlineStr">
        <is>
          <t>BLEKINGE LÄN</t>
        </is>
      </c>
      <c r="G405" t="inlineStr">
        <is>
          <t>RONNEBY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61529-2024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46221</v>
      </c>
      <c r="F406" t="inlineStr">
        <is>
          <t>BLEKINGE LÄN</t>
        </is>
      </c>
      <c r="G406" t="inlineStr">
        <is>
          <t>RONNEBY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39838-2025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45891</v>
      </c>
      <c r="E407" s="1" t="n">
        <v>46221</v>
      </c>
      <c r="F407" t="inlineStr">
        <is>
          <t>BLEKINGE LÄN</t>
        </is>
      </c>
      <c r="G407" t="inlineStr">
        <is>
          <t>RONNEBY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39844-2025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45891</v>
      </c>
      <c r="E408" s="1" t="n">
        <v>46221</v>
      </c>
      <c r="F408" t="inlineStr">
        <is>
          <t>BLEKINGE LÄN</t>
        </is>
      </c>
      <c r="G408" t="inlineStr">
        <is>
          <t>RONNEBY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44565</v>
      </c>
      <c r="E409" s="1" t="n">
        <v>46221</v>
      </c>
      <c r="F409" t="inlineStr">
        <is>
          <t>BLEKINGE LÄN</t>
        </is>
      </c>
      <c r="G409" t="inlineStr">
        <is>
          <t>RONNEBY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25956-2026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46221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20353-2026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46221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45691</v>
      </c>
      <c r="E412" s="1" t="n">
        <v>46221</v>
      </c>
      <c r="F412" t="inlineStr">
        <is>
          <t>BLEKINGE LÄN</t>
        </is>
      </c>
      <c r="G412" t="inlineStr">
        <is>
          <t>RONNEBY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46883-2023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46221</v>
      </c>
      <c r="F413" t="inlineStr">
        <is>
          <t>BLEKINGE LÄN</t>
        </is>
      </c>
      <c r="G413" t="inlineStr">
        <is>
          <t>RONNEBY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46221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46221</v>
      </c>
      <c r="F415" t="inlineStr">
        <is>
          <t>BLEKINGE LÄN</t>
        </is>
      </c>
      <c r="G415" t="inlineStr">
        <is>
          <t>RONNEBY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21111-2024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45440</v>
      </c>
      <c r="E416" s="1" t="n">
        <v>46221</v>
      </c>
      <c r="F416" t="inlineStr">
        <is>
          <t>BLEKINGE LÄN</t>
        </is>
      </c>
      <c r="G416" t="inlineStr">
        <is>
          <t>RONNEBY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8046-2025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46221</v>
      </c>
      <c r="F417" t="inlineStr">
        <is>
          <t>BLEKINGE LÄN</t>
        </is>
      </c>
      <c r="G417" t="inlineStr">
        <is>
          <t>RONNEBY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19606-2024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45432</v>
      </c>
      <c r="E418" s="1" t="n">
        <v>46221</v>
      </c>
      <c r="F418" t="inlineStr">
        <is>
          <t>BLEKINGE LÄN</t>
        </is>
      </c>
      <c r="G418" t="inlineStr">
        <is>
          <t>RONNEBY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19092-2024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45428</v>
      </c>
      <c r="E419" s="1" t="n">
        <v>46221</v>
      </c>
      <c r="F419" t="inlineStr">
        <is>
          <t>BLEKINGE LÄN</t>
        </is>
      </c>
      <c r="G419" t="inlineStr">
        <is>
          <t>RONNEBY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19610-2024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46221</v>
      </c>
      <c r="F420" t="inlineStr">
        <is>
          <t>BLEKINGE LÄN</t>
        </is>
      </c>
      <c r="G420" t="inlineStr">
        <is>
          <t>RONNEBY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20549-2026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46221</v>
      </c>
      <c r="F421" t="inlineStr">
        <is>
          <t>BLEKINGE LÄN</t>
        </is>
      </c>
      <c r="G421" t="inlineStr">
        <is>
          <t>RONNEBY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20602-2026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46221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26290-2026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46221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20351-2026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46221</v>
      </c>
      <c r="F424" t="inlineStr">
        <is>
          <t>BLEKINGE LÄN</t>
        </is>
      </c>
      <c r="G424" t="inlineStr">
        <is>
          <t>RONNEBY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3649-2022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44586</v>
      </c>
      <c r="E425" s="1" t="n">
        <v>46221</v>
      </c>
      <c r="F425" t="inlineStr">
        <is>
          <t>BLEKINGE LÄN</t>
        </is>
      </c>
      <c r="G425" t="inlineStr">
        <is>
          <t>RONNEBY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20544-2026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46221</v>
      </c>
      <c r="F426" t="inlineStr">
        <is>
          <t>BLEKINGE LÄN</t>
        </is>
      </c>
      <c r="G426" t="inlineStr">
        <is>
          <t>RONNEBY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26287-2026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46221</v>
      </c>
      <c r="F427" t="inlineStr">
        <is>
          <t>BLEKINGE LÄN</t>
        </is>
      </c>
      <c r="G427" t="inlineStr">
        <is>
          <t>RONNEBY</t>
        </is>
      </c>
      <c r="H427" t="inlineStr">
        <is>
          <t>Övriga Aktiebolag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26111-2026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46221</v>
      </c>
      <c r="F428" t="inlineStr">
        <is>
          <t>BLEKINGE LÄN</t>
        </is>
      </c>
      <c r="G428" t="inlineStr">
        <is>
          <t>RONNEBY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29430-2022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46221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25948-2026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46221</v>
      </c>
      <c r="F430" t="inlineStr">
        <is>
          <t>BLEKINGE LÄN</t>
        </is>
      </c>
      <c r="G430" t="inlineStr">
        <is>
          <t>RONNEBY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55079-2023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45237</v>
      </c>
      <c r="E431" s="1" t="n">
        <v>46221</v>
      </c>
      <c r="F431" t="inlineStr">
        <is>
          <t>BLEKINGE LÄN</t>
        </is>
      </c>
      <c r="G431" t="inlineStr">
        <is>
          <t>RONNEBY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25077-2022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44729</v>
      </c>
      <c r="E432" s="1" t="n">
        <v>46221</v>
      </c>
      <c r="F432" t="inlineStr">
        <is>
          <t>BLEKINGE LÄN</t>
        </is>
      </c>
      <c r="G432" t="inlineStr">
        <is>
          <t>RONNEBY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57426-2023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46221</v>
      </c>
      <c r="F433" t="inlineStr">
        <is>
          <t>BLEKINGE LÄN</t>
        </is>
      </c>
      <c r="G433" t="inlineStr">
        <is>
          <t>RONNEBY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46221</v>
      </c>
      <c r="F434" t="inlineStr">
        <is>
          <t>BLEKINGE LÄN</t>
        </is>
      </c>
      <c r="G434" t="inlineStr">
        <is>
          <t>RONNEBY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46914-2023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46221</v>
      </c>
      <c r="F435" t="inlineStr">
        <is>
          <t>BLEKINGE LÄN</t>
        </is>
      </c>
      <c r="G435" t="inlineStr">
        <is>
          <t>RONNEBY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11165-2025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45724</v>
      </c>
      <c r="E436" s="1" t="n">
        <v>46221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58722-2023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46221</v>
      </c>
      <c r="F437" t="inlineStr">
        <is>
          <t>BLEKINGE LÄN</t>
        </is>
      </c>
      <c r="G437" t="inlineStr">
        <is>
          <t>RONNEBY</t>
        </is>
      </c>
      <c r="H437" t="inlineStr">
        <is>
          <t>Övriga Aktiebolag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39925-2022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44819</v>
      </c>
      <c r="E438" s="1" t="n">
        <v>46221</v>
      </c>
      <c r="F438" t="inlineStr">
        <is>
          <t>BLEKINGE LÄN</t>
        </is>
      </c>
      <c r="G438" t="inlineStr">
        <is>
          <t>RONNEBY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46646-2023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46221</v>
      </c>
      <c r="F439" t="inlineStr">
        <is>
          <t>BLEKINGE LÄN</t>
        </is>
      </c>
      <c r="G439" t="inlineStr">
        <is>
          <t>RONNEBY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26779-2026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46221</v>
      </c>
      <c r="F440" t="inlineStr">
        <is>
          <t>BLEKINGE LÄN</t>
        </is>
      </c>
      <c r="G440" t="inlineStr">
        <is>
          <t>RONNEBY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54536-2022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46221</v>
      </c>
      <c r="F441" t="inlineStr">
        <is>
          <t>BLEKINGE LÄN</t>
        </is>
      </c>
      <c r="G441" t="inlineStr">
        <is>
          <t>RONNEBY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41076-2023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45169</v>
      </c>
      <c r="E442" s="1" t="n">
        <v>46221</v>
      </c>
      <c r="F442" t="inlineStr">
        <is>
          <t>BLEKINGE LÄN</t>
        </is>
      </c>
      <c r="G442" t="inlineStr">
        <is>
          <t>RONNEBY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45299</v>
      </c>
      <c r="E443" s="1" t="n">
        <v>46221</v>
      </c>
      <c r="F443" t="inlineStr">
        <is>
          <t>BLEKINGE LÄN</t>
        </is>
      </c>
      <c r="G443" t="inlineStr">
        <is>
          <t>RONNEBY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44530-2023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46221</v>
      </c>
      <c r="F444" t="inlineStr">
        <is>
          <t>BLEKINGE LÄN</t>
        </is>
      </c>
      <c r="G444" t="inlineStr">
        <is>
          <t>RONNEBY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24629-2024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45460</v>
      </c>
      <c r="E445" s="1" t="n">
        <v>46221</v>
      </c>
      <c r="F445" t="inlineStr">
        <is>
          <t>BLEKINGE LÄN</t>
        </is>
      </c>
      <c r="G445" t="inlineStr">
        <is>
          <t>RONNEBY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45299</v>
      </c>
      <c r="E446" s="1" t="n">
        <v>46221</v>
      </c>
      <c r="F446" t="inlineStr">
        <is>
          <t>BLEKINGE LÄN</t>
        </is>
      </c>
      <c r="G446" t="inlineStr">
        <is>
          <t>RONNEBY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45302</v>
      </c>
      <c r="E447" s="1" t="n">
        <v>46221</v>
      </c>
      <c r="F447" t="inlineStr">
        <is>
          <t>BLEKINGE LÄN</t>
        </is>
      </c>
      <c r="G447" t="inlineStr">
        <is>
          <t>RONNEBY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21272-2026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46221</v>
      </c>
      <c r="F448" t="inlineStr">
        <is>
          <t>BLEKINGE LÄN</t>
        </is>
      </c>
      <c r="G448" t="inlineStr">
        <is>
          <t>RONNEBY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28122-2023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46221</v>
      </c>
      <c r="F449" t="inlineStr">
        <is>
          <t>BLEKINGE LÄN</t>
        </is>
      </c>
      <c r="G449" t="inlineStr">
        <is>
          <t>RONNEBY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45310</v>
      </c>
      <c r="E450" s="1" t="n">
        <v>46221</v>
      </c>
      <c r="F450" t="inlineStr">
        <is>
          <t>BLEKINGE LÄN</t>
        </is>
      </c>
      <c r="G450" t="inlineStr">
        <is>
          <t>RONNEBY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31218-2024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45503</v>
      </c>
      <c r="E451" s="1" t="n">
        <v>46221</v>
      </c>
      <c r="F451" t="inlineStr">
        <is>
          <t>BLEKINGE LÄN</t>
        </is>
      </c>
      <c r="G451" t="inlineStr">
        <is>
          <t>RONNEBY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21678-2026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46221</v>
      </c>
      <c r="F452" t="inlineStr">
        <is>
          <t>BLEKINGE LÄN</t>
        </is>
      </c>
      <c r="G452" t="inlineStr">
        <is>
          <t>RONNEBY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10508-2023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46221</v>
      </c>
      <c r="F453" t="inlineStr">
        <is>
          <t>BLEKINGE LÄN</t>
        </is>
      </c>
      <c r="G453" t="inlineStr">
        <is>
          <t>RONNEBY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21709-2026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46221</v>
      </c>
      <c r="F454" t="inlineStr">
        <is>
          <t>BLEKINGE LÄN</t>
        </is>
      </c>
      <c r="G454" t="inlineStr">
        <is>
          <t>RONNEBY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47000-2023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45201</v>
      </c>
      <c r="E455" s="1" t="n">
        <v>46221</v>
      </c>
      <c r="F455" t="inlineStr">
        <is>
          <t>BLEKINGE LÄN</t>
        </is>
      </c>
      <c r="G455" t="inlineStr">
        <is>
          <t>RONNEBY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46221</v>
      </c>
      <c r="F456" t="inlineStr">
        <is>
          <t>BLEKINGE LÄN</t>
        </is>
      </c>
      <c r="G456" t="inlineStr">
        <is>
          <t>RONNEBY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49832-2024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45597</v>
      </c>
      <c r="E457" s="1" t="n">
        <v>46221</v>
      </c>
      <c r="F457" t="inlineStr">
        <is>
          <t>BLEKINGE LÄN</t>
        </is>
      </c>
      <c r="G457" t="inlineStr">
        <is>
          <t>RONNEBY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33420-2023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45128</v>
      </c>
      <c r="E458" s="1" t="n">
        <v>46221</v>
      </c>
      <c r="F458" t="inlineStr">
        <is>
          <t>BLEKINGE LÄN</t>
        </is>
      </c>
      <c r="G458" t="inlineStr">
        <is>
          <t>RONNEBY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41665-2024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46221</v>
      </c>
      <c r="F459" t="inlineStr">
        <is>
          <t>BLEKINGE LÄN</t>
        </is>
      </c>
      <c r="G459" t="inlineStr">
        <is>
          <t>RONNEBY</t>
        </is>
      </c>
      <c r="H459" t="inlineStr">
        <is>
          <t>Övriga Aktiebolag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46542-2022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44848</v>
      </c>
      <c r="E460" s="1" t="n">
        <v>46221</v>
      </c>
      <c r="F460" t="inlineStr">
        <is>
          <t>BLEKINGE LÄN</t>
        </is>
      </c>
      <c r="G460" t="inlineStr">
        <is>
          <t>RONNEBY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28040-2026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46221</v>
      </c>
      <c r="F461" t="inlineStr">
        <is>
          <t>BLEKINGE LÄN</t>
        </is>
      </c>
      <c r="G461" t="inlineStr">
        <is>
          <t>RONNEBY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45432</v>
      </c>
      <c r="E462" s="1" t="n">
        <v>46221</v>
      </c>
      <c r="F462" t="inlineStr">
        <is>
          <t>BLEKINGE LÄN</t>
        </is>
      </c>
      <c r="G462" t="inlineStr">
        <is>
          <t>RONNEBY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46221</v>
      </c>
      <c r="F463" t="inlineStr">
        <is>
          <t>BLEKINGE LÄN</t>
        </is>
      </c>
      <c r="G463" t="inlineStr">
        <is>
          <t>RONNEBY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46221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10506-2023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44987</v>
      </c>
      <c r="E465" s="1" t="n">
        <v>46221</v>
      </c>
      <c r="F465" t="inlineStr">
        <is>
          <t>BLEKINGE LÄN</t>
        </is>
      </c>
      <c r="G465" t="inlineStr">
        <is>
          <t>RONNEBY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26867-2024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45470</v>
      </c>
      <c r="E466" s="1" t="n">
        <v>46221</v>
      </c>
      <c r="F466" t="inlineStr">
        <is>
          <t>BLEKINGE LÄN</t>
        </is>
      </c>
      <c r="G466" t="inlineStr">
        <is>
          <t>RONNEBY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9583-2024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45360</v>
      </c>
      <c r="E467" s="1" t="n">
        <v>46221</v>
      </c>
      <c r="F467" t="inlineStr">
        <is>
          <t>BLEKINGE LÄN</t>
        </is>
      </c>
      <c r="G467" t="inlineStr">
        <is>
          <t>RONNEBY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52611-2023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46221</v>
      </c>
      <c r="F468" t="inlineStr">
        <is>
          <t>BLEKINGE LÄN</t>
        </is>
      </c>
      <c r="G468" t="inlineStr">
        <is>
          <t>RONNEBY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52614-2023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45225</v>
      </c>
      <c r="E469" s="1" t="n">
        <v>46221</v>
      </c>
      <c r="F469" t="inlineStr">
        <is>
          <t>BLEKINGE LÄN</t>
        </is>
      </c>
      <c r="G469" t="inlineStr">
        <is>
          <t>RONNEBY</t>
        </is>
      </c>
      <c r="I469" t="n">
        <v>10.2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45327</v>
      </c>
      <c r="E470" s="1" t="n">
        <v>46221</v>
      </c>
      <c r="F470" t="inlineStr">
        <is>
          <t>BLEKINGE LÄN</t>
        </is>
      </c>
      <c r="G470" t="inlineStr">
        <is>
          <t>RONNEBY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8452-2024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45354</v>
      </c>
      <c r="E471" s="1" t="n">
        <v>46221</v>
      </c>
      <c r="F471" t="inlineStr">
        <is>
          <t>BLEKINGE LÄN</t>
        </is>
      </c>
      <c r="G471" t="inlineStr">
        <is>
          <t>RONNEBY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16077-2023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45027</v>
      </c>
      <c r="E472" s="1" t="n">
        <v>46221</v>
      </c>
      <c r="F472" t="inlineStr">
        <is>
          <t>BLEKINGE LÄN</t>
        </is>
      </c>
      <c r="G472" t="inlineStr">
        <is>
          <t>RONNEBY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9310-2023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44980</v>
      </c>
      <c r="E473" s="1" t="n">
        <v>46221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64459-2023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45280</v>
      </c>
      <c r="E474" s="1" t="n">
        <v>46221</v>
      </c>
      <c r="F474" t="inlineStr">
        <is>
          <t>BLEKINGE LÄN</t>
        </is>
      </c>
      <c r="G474" t="inlineStr">
        <is>
          <t>RONNEBY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61740-2022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46221</v>
      </c>
      <c r="F475" t="inlineStr">
        <is>
          <t>BLEKINGE LÄN</t>
        </is>
      </c>
      <c r="G475" t="inlineStr">
        <is>
          <t>RONNEBY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39466-2023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46221</v>
      </c>
      <c r="F476" t="inlineStr">
        <is>
          <t>BLEKINGE LÄN</t>
        </is>
      </c>
      <c r="G476" t="inlineStr">
        <is>
          <t>RONNEBY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14234-2022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44651</v>
      </c>
      <c r="E477" s="1" t="n">
        <v>46221</v>
      </c>
      <c r="F477" t="inlineStr">
        <is>
          <t>BLEKINGE LÄN</t>
        </is>
      </c>
      <c r="G477" t="inlineStr">
        <is>
          <t>RONNEBY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6507-2023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46221</v>
      </c>
      <c r="F478" t="inlineStr">
        <is>
          <t>BLEKINGE LÄN</t>
        </is>
      </c>
      <c r="G478" t="inlineStr">
        <is>
          <t>RONNEBY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28732-2026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46198</v>
      </c>
      <c r="E479" s="1" t="n">
        <v>46221</v>
      </c>
      <c r="F479" t="inlineStr">
        <is>
          <t>BLEKINGE LÄN</t>
        </is>
      </c>
      <c r="G479" t="inlineStr">
        <is>
          <t>RONNEBY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12768-2023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45001</v>
      </c>
      <c r="E480" s="1" t="n">
        <v>46221</v>
      </c>
      <c r="F480" t="inlineStr">
        <is>
          <t>BLEKINGE LÄN</t>
        </is>
      </c>
      <c r="G480" t="inlineStr">
        <is>
          <t>RONNEBY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3001-2023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44945</v>
      </c>
      <c r="E481" s="1" t="n">
        <v>46221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29283-2026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46221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29082-2026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46199</v>
      </c>
      <c r="E483" s="1" t="n">
        <v>46221</v>
      </c>
      <c r="F483" t="inlineStr">
        <is>
          <t>BLEKINGE LÄN</t>
        </is>
      </c>
      <c r="G483" t="inlineStr">
        <is>
          <t>RONNEBY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11179-2023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44992</v>
      </c>
      <c r="E484" s="1" t="n">
        <v>46221</v>
      </c>
      <c r="F484" t="inlineStr">
        <is>
          <t>BLEKINGE LÄN</t>
        </is>
      </c>
      <c r="G484" t="inlineStr">
        <is>
          <t>RONNEBY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45006</v>
      </c>
      <c r="E485" s="1" t="n">
        <v>46221</v>
      </c>
      <c r="F485" t="inlineStr">
        <is>
          <t>BLEKINGE LÄN</t>
        </is>
      </c>
      <c r="G485" t="inlineStr">
        <is>
          <t>RONNEBY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46884-2023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45201</v>
      </c>
      <c r="E486" s="1" t="n">
        <v>46221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46900-2023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45195</v>
      </c>
      <c r="E487" s="1" t="n">
        <v>46221</v>
      </c>
      <c r="F487" t="inlineStr">
        <is>
          <t>BLEKINGE LÄN</t>
        </is>
      </c>
      <c r="G487" t="inlineStr">
        <is>
          <t>RONNEBY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15622-2024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45402</v>
      </c>
      <c r="E488" s="1" t="n">
        <v>46221</v>
      </c>
      <c r="F488" t="inlineStr">
        <is>
          <t>BLEKINGE LÄN</t>
        </is>
      </c>
      <c r="G488" t="inlineStr">
        <is>
          <t>RONNEBY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29261-2026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46221</v>
      </c>
      <c r="F489" t="inlineStr">
        <is>
          <t>BLEKINGE LÄN</t>
        </is>
      </c>
      <c r="G489" t="inlineStr">
        <is>
          <t>RONNEBY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45139</v>
      </c>
      <c r="E490" s="1" t="n">
        <v>46221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9685-2022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44617</v>
      </c>
      <c r="E491" s="1" t="n">
        <v>46221</v>
      </c>
      <c r="F491" t="inlineStr">
        <is>
          <t>BLEKINGE LÄN</t>
        </is>
      </c>
      <c r="G491" t="inlineStr">
        <is>
          <t>RONNEBY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26706-2026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46221</v>
      </c>
      <c r="F492" t="inlineStr">
        <is>
          <t>BLEKINGE LÄN</t>
        </is>
      </c>
      <c r="G492" t="inlineStr">
        <is>
          <t>RONNEBY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46221</v>
      </c>
      <c r="F493" t="inlineStr">
        <is>
          <t>BLEKINGE LÄN</t>
        </is>
      </c>
      <c r="G493" t="inlineStr">
        <is>
          <t>RONNEBY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62932-2023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46221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46221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30536-2023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46221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46221</v>
      </c>
      <c r="F497" t="inlineStr">
        <is>
          <t>BLEKINGE LÄN</t>
        </is>
      </c>
      <c r="G497" t="inlineStr">
        <is>
          <t>RONNEBY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61346-2024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46221</v>
      </c>
      <c r="F498" t="inlineStr">
        <is>
          <t>BLEKINGE LÄN</t>
        </is>
      </c>
      <c r="G498" t="inlineStr">
        <is>
          <t>RONNEBY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9870-2024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45363</v>
      </c>
      <c r="E499" s="1" t="n">
        <v>46221</v>
      </c>
      <c r="F499" t="inlineStr">
        <is>
          <t>BLEKINGE LÄN</t>
        </is>
      </c>
      <c r="G499" t="inlineStr">
        <is>
          <t>RONNEBY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13619-2023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46221</v>
      </c>
      <c r="F500" t="inlineStr">
        <is>
          <t>BLEKINGE LÄN</t>
        </is>
      </c>
      <c r="G500" t="inlineStr">
        <is>
          <t>RONNEBY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23385-2026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46221</v>
      </c>
      <c r="F501" t="inlineStr">
        <is>
          <t>BLEKINGE LÄN</t>
        </is>
      </c>
      <c r="G501" t="inlineStr">
        <is>
          <t>RONNEBY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24502-2023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45082</v>
      </c>
      <c r="E502" s="1" t="n">
        <v>46221</v>
      </c>
      <c r="F502" t="inlineStr">
        <is>
          <t>BLEKINGE LÄN</t>
        </is>
      </c>
      <c r="G502" t="inlineStr">
        <is>
          <t>RONNEBY</t>
        </is>
      </c>
      <c r="H502" t="inlineStr">
        <is>
          <t>Kommuner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33535-2025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45841</v>
      </c>
      <c r="E503" s="1" t="n">
        <v>46221</v>
      </c>
      <c r="F503" t="inlineStr">
        <is>
          <t>BLEKINGE LÄN</t>
        </is>
      </c>
      <c r="G503" t="inlineStr">
        <is>
          <t>RONNEBY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23380-2026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46221</v>
      </c>
      <c r="F504" t="inlineStr">
        <is>
          <t>BLEKINGE LÄN</t>
        </is>
      </c>
      <c r="G504" t="inlineStr">
        <is>
          <t>RONNEBY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23382-2026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46221</v>
      </c>
      <c r="F505" t="inlineStr">
        <is>
          <t>BLEKINGE LÄN</t>
        </is>
      </c>
      <c r="G505" t="inlineStr">
        <is>
          <t>RONNEBY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46221</v>
      </c>
      <c r="F506" t="inlineStr">
        <is>
          <t>BLEKINGE LÄN</t>
        </is>
      </c>
      <c r="G506" t="inlineStr">
        <is>
          <t>RONNEBY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14335-2023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46221</v>
      </c>
      <c r="F507" t="inlineStr">
        <is>
          <t>BLEKINGE LÄN</t>
        </is>
      </c>
      <c r="G507" t="inlineStr">
        <is>
          <t>RONNEBY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14357-2023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46221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46221</v>
      </c>
      <c r="F509" t="inlineStr">
        <is>
          <t>BLEKINGE LÄN</t>
        </is>
      </c>
      <c r="G509" t="inlineStr">
        <is>
          <t>RONNEBY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20580-2023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45057</v>
      </c>
      <c r="E510" s="1" t="n">
        <v>46221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46221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28975-2023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45104</v>
      </c>
      <c r="E512" s="1" t="n">
        <v>46221</v>
      </c>
      <c r="F512" t="inlineStr">
        <is>
          <t>BLEKINGE LÄN</t>
        </is>
      </c>
      <c r="G512" t="inlineStr">
        <is>
          <t>RONNEBY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29987-2026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46221</v>
      </c>
      <c r="F513" t="inlineStr">
        <is>
          <t>BLEKINGE LÄN</t>
        </is>
      </c>
      <c r="G513" t="inlineStr">
        <is>
          <t>RONNEBY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46221</v>
      </c>
      <c r="F514" t="inlineStr">
        <is>
          <t>BLEKINGE LÄN</t>
        </is>
      </c>
      <c r="G514" t="inlineStr">
        <is>
          <t>RONNEBY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41682-2024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46221</v>
      </c>
      <c r="F515" t="inlineStr">
        <is>
          <t>BLEKINGE LÄN</t>
        </is>
      </c>
      <c r="G515" t="inlineStr">
        <is>
          <t>RONNEBY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29158-2023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45105</v>
      </c>
      <c r="E516" s="1" t="n">
        <v>46221</v>
      </c>
      <c r="F516" t="inlineStr">
        <is>
          <t>BLEKINGE LÄN</t>
        </is>
      </c>
      <c r="G516" t="inlineStr">
        <is>
          <t>RONNEBY</t>
        </is>
      </c>
      <c r="H516" t="inlineStr">
        <is>
          <t>Kommuner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12964-2023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46221</v>
      </c>
      <c r="F517" t="inlineStr">
        <is>
          <t>BLEKINGE LÄN</t>
        </is>
      </c>
      <c r="G517" t="inlineStr">
        <is>
          <t>RONNEBY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8330-2023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44974</v>
      </c>
      <c r="E518" s="1" t="n">
        <v>46221</v>
      </c>
      <c r="F518" t="inlineStr">
        <is>
          <t>BLEKINGE LÄN</t>
        </is>
      </c>
      <c r="G518" t="inlineStr">
        <is>
          <t>RONNEBY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50808-2024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45602</v>
      </c>
      <c r="E519" s="1" t="n">
        <v>46221</v>
      </c>
      <c r="F519" t="inlineStr">
        <is>
          <t>BLEKINGE LÄN</t>
        </is>
      </c>
      <c r="G519" t="inlineStr">
        <is>
          <t>RONNEBY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26644-2022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44739</v>
      </c>
      <c r="E520" s="1" t="n">
        <v>46221</v>
      </c>
      <c r="F520" t="inlineStr">
        <is>
          <t>BLEKINGE LÄN</t>
        </is>
      </c>
      <c r="G520" t="inlineStr">
        <is>
          <t>RONNEBY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23888-2022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44722</v>
      </c>
      <c r="E521" s="1" t="n">
        <v>46221</v>
      </c>
      <c r="F521" t="inlineStr">
        <is>
          <t>BLEKINGE LÄN</t>
        </is>
      </c>
      <c r="G521" t="inlineStr">
        <is>
          <t>RONNEBY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30407-2026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46221</v>
      </c>
      <c r="F522" t="inlineStr">
        <is>
          <t>BLEKINGE LÄN</t>
        </is>
      </c>
      <c r="G522" t="inlineStr">
        <is>
          <t>RONNEBY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14428-2024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45394</v>
      </c>
      <c r="E523" s="1" t="n">
        <v>46221</v>
      </c>
      <c r="F523" t="inlineStr">
        <is>
          <t>BLEKINGE LÄN</t>
        </is>
      </c>
      <c r="G523" t="inlineStr">
        <is>
          <t>RONNEBY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58552-2022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44902</v>
      </c>
      <c r="E524" s="1" t="n">
        <v>46221</v>
      </c>
      <c r="F524" t="inlineStr">
        <is>
          <t>BLEKINGE LÄN</t>
        </is>
      </c>
      <c r="G524" t="inlineStr">
        <is>
          <t>RONNEBY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11560-2024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45373</v>
      </c>
      <c r="E525" s="1" t="n">
        <v>46221</v>
      </c>
      <c r="F525" t="inlineStr">
        <is>
          <t>BLEKINGE LÄN</t>
        </is>
      </c>
      <c r="G525" t="inlineStr">
        <is>
          <t>RONNEBY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9493-2024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45359</v>
      </c>
      <c r="E526" s="1" t="n">
        <v>46221</v>
      </c>
      <c r="F526" t="inlineStr">
        <is>
          <t>BLEKINGE LÄN</t>
        </is>
      </c>
      <c r="G526" t="inlineStr">
        <is>
          <t>RONNEBY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9571-2024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45360</v>
      </c>
      <c r="E527" s="1" t="n">
        <v>46221</v>
      </c>
      <c r="F527" t="inlineStr">
        <is>
          <t>BLEKINGE LÄN</t>
        </is>
      </c>
      <c r="G527" t="inlineStr">
        <is>
          <t>RONNEBY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24244-2026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46221</v>
      </c>
      <c r="F528" t="inlineStr">
        <is>
          <t>BLEKINGE LÄN</t>
        </is>
      </c>
      <c r="G528" t="inlineStr">
        <is>
          <t>RONNEBY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30545-2026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46210</v>
      </c>
      <c r="E529" s="1" t="n">
        <v>46221</v>
      </c>
      <c r="F529" t="inlineStr">
        <is>
          <t>BLEKINGE LÄN</t>
        </is>
      </c>
      <c r="G529" t="inlineStr">
        <is>
          <t>RONNEBY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30408-2026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46221</v>
      </c>
      <c r="F530" t="inlineStr">
        <is>
          <t>BLEKINGE LÄN</t>
        </is>
      </c>
      <c r="G530" t="inlineStr">
        <is>
          <t>RONNEBY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29552-2022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44754</v>
      </c>
      <c r="E531" s="1" t="n">
        <v>46221</v>
      </c>
      <c r="F531" t="inlineStr">
        <is>
          <t>BLEKINGE LÄN</t>
        </is>
      </c>
      <c r="G531" t="inlineStr">
        <is>
          <t>RONNEBY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22814-2023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45072</v>
      </c>
      <c r="E532" s="1" t="n">
        <v>46221</v>
      </c>
      <c r="F532" t="inlineStr">
        <is>
          <t>BLEKINGE LÄN</t>
        </is>
      </c>
      <c r="G532" t="inlineStr">
        <is>
          <t>RONNEBY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24245-2026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46221</v>
      </c>
      <c r="F533" t="inlineStr">
        <is>
          <t>BLEKINGE LÄN</t>
        </is>
      </c>
      <c r="G533" t="inlineStr">
        <is>
          <t>RONNEBY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30564-2026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46210</v>
      </c>
      <c r="E534" s="1" t="n">
        <v>46221</v>
      </c>
      <c r="F534" t="inlineStr">
        <is>
          <t>BLEKINGE LÄN</t>
        </is>
      </c>
      <c r="G534" t="inlineStr">
        <is>
          <t>RONNEBY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19841-2023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45053</v>
      </c>
      <c r="E535" s="1" t="n">
        <v>46221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46221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46221</v>
      </c>
      <c r="F537" t="inlineStr">
        <is>
          <t>BLEKINGE LÄN</t>
        </is>
      </c>
      <c r="G537" t="inlineStr">
        <is>
          <t>RONNEBY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41058-2024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46221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25287-2024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45462</v>
      </c>
      <c r="E539" s="1" t="n">
        <v>46221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4470-2023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46221</v>
      </c>
      <c r="F540" t="inlineStr">
        <is>
          <t>BLEKINGE LÄN</t>
        </is>
      </c>
      <c r="G540" t="inlineStr">
        <is>
          <t>RONNEBY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23996-2023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45075</v>
      </c>
      <c r="E541" s="1" t="n">
        <v>46221</v>
      </c>
      <c r="F541" t="inlineStr">
        <is>
          <t>BLEKINGE LÄN</t>
        </is>
      </c>
      <c r="G541" t="inlineStr">
        <is>
          <t>RONNEBY</t>
        </is>
      </c>
      <c r="I541" t="n">
        <v>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31137-2026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46221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20822-2023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45058</v>
      </c>
      <c r="E543" s="1" t="n">
        <v>46221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4411-2024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45327</v>
      </c>
      <c r="E544" s="1" t="n">
        <v>46221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15624-2024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45402</v>
      </c>
      <c r="E545" s="1" t="n">
        <v>46221</v>
      </c>
      <c r="F545" t="inlineStr">
        <is>
          <t>BLEKINGE LÄN</t>
        </is>
      </c>
      <c r="G545" t="inlineStr">
        <is>
          <t>RONNEBY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46221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20586-2025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46221</v>
      </c>
      <c r="F547" t="inlineStr">
        <is>
          <t>BLEKINGE LÄN</t>
        </is>
      </c>
      <c r="G547" t="inlineStr">
        <is>
          <t>RONNEBY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14329-2023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45012</v>
      </c>
      <c r="E548" s="1" t="n">
        <v>46221</v>
      </c>
      <c r="F548" t="inlineStr">
        <is>
          <t>BLEKINGE LÄN</t>
        </is>
      </c>
      <c r="G548" t="inlineStr">
        <is>
          <t>RONNEBY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14359-2023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45012</v>
      </c>
      <c r="E549" s="1" t="n">
        <v>46221</v>
      </c>
      <c r="F549" t="inlineStr">
        <is>
          <t>BLEKINGE LÄN</t>
        </is>
      </c>
      <c r="G549" t="inlineStr">
        <is>
          <t>RONNEBY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32162-2022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44756</v>
      </c>
      <c r="E550" s="1" t="n">
        <v>46221</v>
      </c>
      <c r="F550" t="inlineStr">
        <is>
          <t>BLEKINGE LÄN</t>
        </is>
      </c>
      <c r="G550" t="inlineStr">
        <is>
          <t>RONNEBY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31278-2026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46218</v>
      </c>
      <c r="E551" s="1" t="n">
        <v>46221</v>
      </c>
      <c r="F551" t="inlineStr">
        <is>
          <t>BLEKINGE LÄN</t>
        </is>
      </c>
      <c r="G551" t="inlineStr">
        <is>
          <t>RONNEBY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29262-2023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45098</v>
      </c>
      <c r="E552" s="1" t="n">
        <v>46221</v>
      </c>
      <c r="F552" t="inlineStr">
        <is>
          <t>BLEKINGE LÄN</t>
        </is>
      </c>
      <c r="G552" t="inlineStr">
        <is>
          <t>RONNEBY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6242-2024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45337</v>
      </c>
      <c r="E553" s="1" t="n">
        <v>46221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9569-2024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45360</v>
      </c>
      <c r="E554" s="1" t="n">
        <v>46221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31138-2026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46221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31344-2026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46221</v>
      </c>
      <c r="F556" t="inlineStr">
        <is>
          <t>BLEKINGE LÄN</t>
        </is>
      </c>
      <c r="G556" t="inlineStr">
        <is>
          <t>RONNEBY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9230-2025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45714</v>
      </c>
      <c r="E557" s="1" t="n">
        <v>46221</v>
      </c>
      <c r="F557" t="inlineStr">
        <is>
          <t>BLEKINGE LÄN</t>
        </is>
      </c>
      <c r="G557" t="inlineStr">
        <is>
          <t>RONNEBY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12767-2023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46221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31342-2026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46212</v>
      </c>
      <c r="E559" s="1" t="n">
        <v>46221</v>
      </c>
      <c r="F559" t="inlineStr">
        <is>
          <t>BLEKINGE LÄN</t>
        </is>
      </c>
      <c r="G559" t="inlineStr">
        <is>
          <t>RONNEBY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8003-2024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46221</v>
      </c>
      <c r="F560" t="inlineStr">
        <is>
          <t>BLEKINGE LÄN</t>
        </is>
      </c>
      <c r="G560" t="inlineStr">
        <is>
          <t>RONNEBY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8004-2024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46221</v>
      </c>
      <c r="F561" t="inlineStr">
        <is>
          <t>BLEKINGE LÄN</t>
        </is>
      </c>
      <c r="G561" t="inlineStr">
        <is>
          <t>RONNEBY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38375-2024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45545</v>
      </c>
      <c r="E562" s="1" t="n">
        <v>46221</v>
      </c>
      <c r="F562" t="inlineStr">
        <is>
          <t>BLEKINGE LÄN</t>
        </is>
      </c>
      <c r="G562" t="inlineStr">
        <is>
          <t>RONNEBY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31415-2022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44774</v>
      </c>
      <c r="E563" s="1" t="n">
        <v>46221</v>
      </c>
      <c r="F563" t="inlineStr">
        <is>
          <t>BLEKINGE LÄN</t>
        </is>
      </c>
      <c r="G563" t="inlineStr">
        <is>
          <t>RONNEBY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41217-2023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46221</v>
      </c>
      <c r="F564" t="inlineStr">
        <is>
          <t>BLEKINGE LÄN</t>
        </is>
      </c>
      <c r="G564" t="inlineStr">
        <is>
          <t>RONNEBY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42389-2021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44427</v>
      </c>
      <c r="E565" s="1" t="n">
        <v>46221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9227-2025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45714</v>
      </c>
      <c r="E566" s="1" t="n">
        <v>46221</v>
      </c>
      <c r="F566" t="inlineStr">
        <is>
          <t>BLEKINGE LÄN</t>
        </is>
      </c>
      <c r="G566" t="inlineStr">
        <is>
          <t>RONNEBY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57771-2024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46221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57773-2024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45630</v>
      </c>
      <c r="E568" s="1" t="n">
        <v>46221</v>
      </c>
      <c r="F568" t="inlineStr">
        <is>
          <t>BLEKINGE LÄN</t>
        </is>
      </c>
      <c r="G568" t="inlineStr">
        <is>
          <t>RONNEBY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47823-2024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46221</v>
      </c>
      <c r="F569" t="inlineStr">
        <is>
          <t>BLEKINGE LÄN</t>
        </is>
      </c>
      <c r="G569" t="inlineStr">
        <is>
          <t>RONNEBY</t>
        </is>
      </c>
      <c r="H569" t="inlineStr">
        <is>
          <t>Kommuner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59676-2022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44908</v>
      </c>
      <c r="E570" s="1" t="n">
        <v>46221</v>
      </c>
      <c r="F570" t="inlineStr">
        <is>
          <t>BLEKINGE LÄN</t>
        </is>
      </c>
      <c r="G570" t="inlineStr">
        <is>
          <t>RONNEBY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19594-2024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45430</v>
      </c>
      <c r="E571" s="1" t="n">
        <v>46221</v>
      </c>
      <c r="F571" t="inlineStr">
        <is>
          <t>BLEKINGE LÄN</t>
        </is>
      </c>
      <c r="G571" t="inlineStr">
        <is>
          <t>RONNEBY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16684-2024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45408</v>
      </c>
      <c r="E572" s="1" t="n">
        <v>46221</v>
      </c>
      <c r="F572" t="inlineStr">
        <is>
          <t>BLEKINGE LÄN</t>
        </is>
      </c>
      <c r="G572" t="inlineStr">
        <is>
          <t>RONNEBY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52817-2024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45610</v>
      </c>
      <c r="E573" s="1" t="n">
        <v>46221</v>
      </c>
      <c r="F573" t="inlineStr">
        <is>
          <t>BLEKINGE LÄN</t>
        </is>
      </c>
      <c r="G573" t="inlineStr">
        <is>
          <t>RONNEBY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7826-2023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46221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9.199999999999999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63881-2023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45278</v>
      </c>
      <c r="E575" s="1" t="n">
        <v>46221</v>
      </c>
      <c r="F575" t="inlineStr">
        <is>
          <t>BLEKINGE LÄN</t>
        </is>
      </c>
      <c r="G575" t="inlineStr">
        <is>
          <t>RONNEBY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15264-2023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45019</v>
      </c>
      <c r="E576" s="1" t="n">
        <v>46221</v>
      </c>
      <c r="F576" t="inlineStr">
        <is>
          <t>BLEKINGE LÄN</t>
        </is>
      </c>
      <c r="G576" t="inlineStr">
        <is>
          <t>RONNEBY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17563-2023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46221</v>
      </c>
      <c r="F577" t="inlineStr">
        <is>
          <t>BLEKINGE LÄN</t>
        </is>
      </c>
      <c r="G577" t="inlineStr">
        <is>
          <t>RONNEBY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32172-2023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46221</v>
      </c>
      <c r="F578" t="inlineStr">
        <is>
          <t>BLEKINGE LÄN</t>
        </is>
      </c>
      <c r="G578" t="inlineStr">
        <is>
          <t>RONNEBY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53188-2023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46221</v>
      </c>
      <c r="F579" t="inlineStr">
        <is>
          <t>BLEKINGE LÄN</t>
        </is>
      </c>
      <c r="G579" t="inlineStr">
        <is>
          <t>RONNEBY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46221</v>
      </c>
      <c r="F580" t="inlineStr">
        <is>
          <t>BLEKINGE LÄN</t>
        </is>
      </c>
      <c r="G580" t="inlineStr">
        <is>
          <t>RONNEBY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17904-2023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46221</v>
      </c>
      <c r="F581" t="inlineStr">
        <is>
          <t>BLEKINGE LÄN</t>
        </is>
      </c>
      <c r="G581" t="inlineStr">
        <is>
          <t>RONNEBY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46221</v>
      </c>
      <c r="F582" t="inlineStr">
        <is>
          <t>BLEKINGE LÄN</t>
        </is>
      </c>
      <c r="G582" t="inlineStr">
        <is>
          <t>RONNEBY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18681-2023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46221</v>
      </c>
      <c r="F583" t="inlineStr">
        <is>
          <t>BLEKINGE LÄN</t>
        </is>
      </c>
      <c r="G583" t="inlineStr">
        <is>
          <t>RONNEBY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4338-2025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45685</v>
      </c>
      <c r="E584" s="1" t="n">
        <v>46221</v>
      </c>
      <c r="F584" t="inlineStr">
        <is>
          <t>BLEKINGE LÄN</t>
        </is>
      </c>
      <c r="G584" t="inlineStr">
        <is>
          <t>RONNEBY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9057-2024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46221</v>
      </c>
      <c r="F585" t="inlineStr">
        <is>
          <t>BLEKINGE LÄN</t>
        </is>
      </c>
      <c r="G585" t="inlineStr">
        <is>
          <t>RONNEBY</t>
        </is>
      </c>
      <c r="H585" t="inlineStr">
        <is>
          <t>Kommuner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7716-2023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44972</v>
      </c>
      <c r="E586" s="1" t="n">
        <v>46221</v>
      </c>
      <c r="F586" t="inlineStr">
        <is>
          <t>BLEKINGE LÄN</t>
        </is>
      </c>
      <c r="G586" t="inlineStr">
        <is>
          <t>RONNEBY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41421-2024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46221</v>
      </c>
      <c r="F587" t="inlineStr">
        <is>
          <t>BLEKINGE LÄN</t>
        </is>
      </c>
      <c r="G587" t="inlineStr">
        <is>
          <t>RONNEBY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35622-2024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46221</v>
      </c>
      <c r="F588" t="inlineStr">
        <is>
          <t>BLEKINGE LÄN</t>
        </is>
      </c>
      <c r="G588" t="inlineStr">
        <is>
          <t>RONNEBY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14429-2024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46221</v>
      </c>
      <c r="F589" t="inlineStr">
        <is>
          <t>BLEKINGE LÄN</t>
        </is>
      </c>
      <c r="G589" t="inlineStr">
        <is>
          <t>RONNEBY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43339-2021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44432</v>
      </c>
      <c r="E590" s="1" t="n">
        <v>46221</v>
      </c>
      <c r="F590" t="inlineStr">
        <is>
          <t>BLEKINGE LÄN</t>
        </is>
      </c>
      <c r="G590" t="inlineStr">
        <is>
          <t>RONNEBY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29024-2023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45104</v>
      </c>
      <c r="E591" s="1" t="n">
        <v>46221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44452-2024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46221</v>
      </c>
      <c r="F592" t="inlineStr">
        <is>
          <t>BLEKINGE LÄN</t>
        </is>
      </c>
      <c r="G592" t="inlineStr">
        <is>
          <t>RONNEBY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46221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5227-2025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46221</v>
      </c>
      <c r="F594" t="inlineStr">
        <is>
          <t>BLEKINGE LÄN</t>
        </is>
      </c>
      <c r="G594" t="inlineStr">
        <is>
          <t>RONNEBY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52279-2024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46221</v>
      </c>
      <c r="F595" t="inlineStr">
        <is>
          <t>BLEKINGE LÄN</t>
        </is>
      </c>
      <c r="G595" t="inlineStr">
        <is>
          <t>RONNEBY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45502</v>
      </c>
      <c r="E596" s="1" t="n">
        <v>46221</v>
      </c>
      <c r="F596" t="inlineStr">
        <is>
          <t>BLEKINGE LÄN</t>
        </is>
      </c>
      <c r="G596" t="inlineStr">
        <is>
          <t>RONNEBY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6741-2023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46221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34888-2024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46221</v>
      </c>
      <c r="F598" t="inlineStr">
        <is>
          <t>BLEKINGE LÄN</t>
        </is>
      </c>
      <c r="G598" t="inlineStr">
        <is>
          <t>RONNEBY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43056-2024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45567</v>
      </c>
      <c r="E599" s="1" t="n">
        <v>46221</v>
      </c>
      <c r="F599" t="inlineStr">
        <is>
          <t>BLEKINGE LÄN</t>
        </is>
      </c>
      <c r="G599" t="inlineStr">
        <is>
          <t>RONNEBY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40346-2021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44419</v>
      </c>
      <c r="E600" s="1" t="n">
        <v>46221</v>
      </c>
      <c r="F600" t="inlineStr">
        <is>
          <t>BLEKINGE LÄN</t>
        </is>
      </c>
      <c r="G600" t="inlineStr">
        <is>
          <t>RONNEBY</t>
        </is>
      </c>
      <c r="H600" t="inlineStr">
        <is>
          <t>Kommuner</t>
        </is>
      </c>
      <c r="I600" t="n">
        <v>8.1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22193-2025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46221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11168-2025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45724</v>
      </c>
      <c r="E602" s="1" t="n">
        <v>46221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39564-2024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45551</v>
      </c>
      <c r="E603" s="1" t="n">
        <v>46221</v>
      </c>
      <c r="F603" t="inlineStr">
        <is>
          <t>BLEKINGE LÄN</t>
        </is>
      </c>
      <c r="G603" t="inlineStr">
        <is>
          <t>RONNEBY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45642-2024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46221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35245-2024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45530</v>
      </c>
      <c r="E605" s="1" t="n">
        <v>46221</v>
      </c>
      <c r="F605" t="inlineStr">
        <is>
          <t>BLEKINGE LÄN</t>
        </is>
      </c>
      <c r="G605" t="inlineStr">
        <is>
          <t>RONNEBY</t>
        </is>
      </c>
      <c r="I605" t="n">
        <v>11.2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42212-2024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45562</v>
      </c>
      <c r="E606" s="1" t="n">
        <v>46221</v>
      </c>
      <c r="F606" t="inlineStr">
        <is>
          <t>BLEKINGE LÄN</t>
        </is>
      </c>
      <c r="G606" t="inlineStr">
        <is>
          <t>RONNEBY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34884-2024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46221</v>
      </c>
      <c r="F607" t="inlineStr">
        <is>
          <t>BLEKINGE LÄN</t>
        </is>
      </c>
      <c r="G607" t="inlineStr">
        <is>
          <t>RONNEBY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61309-2024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45646</v>
      </c>
      <c r="E608" s="1" t="n">
        <v>46221</v>
      </c>
      <c r="F608" t="inlineStr">
        <is>
          <t>BLEKINGE LÄN</t>
        </is>
      </c>
      <c r="G608" t="inlineStr">
        <is>
          <t>RONNEBY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64469-2023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45280</v>
      </c>
      <c r="E609" s="1" t="n">
        <v>46221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43875-2021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44434</v>
      </c>
      <c r="E610" s="1" t="n">
        <v>46221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38463-2024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45546</v>
      </c>
      <c r="E611" s="1" t="n">
        <v>46221</v>
      </c>
      <c r="F611" t="inlineStr">
        <is>
          <t>BLEKINGE LÄN</t>
        </is>
      </c>
      <c r="G611" t="inlineStr">
        <is>
          <t>RONNEBY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23383-2025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46221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49939-2024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45597</v>
      </c>
      <c r="E613" s="1" t="n">
        <v>46221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45672</v>
      </c>
      <c r="E614" s="1" t="n">
        <v>46221</v>
      </c>
      <c r="F614" t="inlineStr">
        <is>
          <t>BLEKINGE LÄN</t>
        </is>
      </c>
      <c r="G614" t="inlineStr">
        <is>
          <t>RONNEBY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7835-2023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44973</v>
      </c>
      <c r="E615" s="1" t="n">
        <v>46221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45433-2023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45194</v>
      </c>
      <c r="E616" s="1" t="n">
        <v>46221</v>
      </c>
      <c r="F616" t="inlineStr">
        <is>
          <t>BLEKINGE LÄN</t>
        </is>
      </c>
      <c r="G616" t="inlineStr">
        <is>
          <t>RONNEBY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24013-2023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45078</v>
      </c>
      <c r="E617" s="1" t="n">
        <v>46221</v>
      </c>
      <c r="F617" t="inlineStr">
        <is>
          <t>BLEKINGE LÄN</t>
        </is>
      </c>
      <c r="G617" t="inlineStr">
        <is>
          <t>RONNEBY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57880-2023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45247</v>
      </c>
      <c r="E618" s="1" t="n">
        <v>46221</v>
      </c>
      <c r="F618" t="inlineStr">
        <is>
          <t>BLEKINGE LÄN</t>
        </is>
      </c>
      <c r="G618" t="inlineStr">
        <is>
          <t>RONNEBY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45644-2024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46221</v>
      </c>
      <c r="F619" t="inlineStr">
        <is>
          <t>BLEKINGE LÄN</t>
        </is>
      </c>
      <c r="G619" t="inlineStr">
        <is>
          <t>RONNEBY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25861-2025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45803</v>
      </c>
      <c r="E620" s="1" t="n">
        <v>46221</v>
      </c>
      <c r="F620" t="inlineStr">
        <is>
          <t>BLEKINGE LÄN</t>
        </is>
      </c>
      <c r="G620" t="inlineStr">
        <is>
          <t>RONNEBY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46221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46221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46221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46221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46221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5856-2021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44439</v>
      </c>
      <c r="E626" s="1" t="n">
        <v>46221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2759-2024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45485</v>
      </c>
      <c r="E627" s="1" t="n">
        <v>46221</v>
      </c>
      <c r="F627" t="inlineStr">
        <is>
          <t>BLEKINGE LÄN</t>
        </is>
      </c>
      <c r="G627" t="inlineStr">
        <is>
          <t>RONNEBY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5159-2024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45646</v>
      </c>
      <c r="E628" s="1" t="n">
        <v>46221</v>
      </c>
      <c r="F628" t="inlineStr">
        <is>
          <t>BLEKINGE LÄN</t>
        </is>
      </c>
      <c r="G628" t="inlineStr">
        <is>
          <t>RONNEBY</t>
        </is>
      </c>
      <c r="I628" t="n">
        <v>75.90000000000001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4617-2024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45602</v>
      </c>
      <c r="E629" s="1" t="n">
        <v>46221</v>
      </c>
      <c r="F629" t="inlineStr">
        <is>
          <t>BLEKINGE LÄN</t>
        </is>
      </c>
      <c r="G629" t="inlineStr">
        <is>
          <t>RONNEBY</t>
        </is>
      </c>
      <c r="I629" t="n">
        <v>65.2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4090-2024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45573</v>
      </c>
      <c r="E630" s="1" t="n">
        <v>46221</v>
      </c>
      <c r="F630" t="inlineStr">
        <is>
          <t>BLEKINGE LÄN</t>
        </is>
      </c>
      <c r="G630" t="inlineStr">
        <is>
          <t>RONNEBY</t>
        </is>
      </c>
      <c r="I630" t="n">
        <v>35.7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45656</v>
      </c>
      <c r="E631" s="1" t="n">
        <v>46221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385-2023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44959</v>
      </c>
      <c r="E632" s="1" t="n">
        <v>46221</v>
      </c>
      <c r="F632" t="inlineStr">
        <is>
          <t>BLEKINGE LÄN</t>
        </is>
      </c>
      <c r="G632" t="inlineStr">
        <is>
          <t>RONNEBY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2196-2024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45457</v>
      </c>
      <c r="E633" s="1" t="n">
        <v>46221</v>
      </c>
      <c r="F633" t="inlineStr">
        <is>
          <t>BLEKINGE LÄN</t>
        </is>
      </c>
      <c r="G633" t="inlineStr">
        <is>
          <t>RONNEBY</t>
        </is>
      </c>
      <c r="I633" t="n">
        <v>19.6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2689-2023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46221</v>
      </c>
      <c r="F634" t="inlineStr">
        <is>
          <t>BLEKINGE LÄN</t>
        </is>
      </c>
      <c r="G634" t="inlineStr">
        <is>
          <t>RONNEBY</t>
        </is>
      </c>
      <c r="I634" t="n">
        <v>17.8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2690-2023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45154</v>
      </c>
      <c r="E635" s="1" t="n">
        <v>46221</v>
      </c>
      <c r="F635" t="inlineStr">
        <is>
          <t>BLEKINGE LÄN</t>
        </is>
      </c>
      <c r="G635" t="inlineStr">
        <is>
          <t>RONNEBY</t>
        </is>
      </c>
      <c r="I635" t="n">
        <v>17.3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206-2026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46050</v>
      </c>
      <c r="E636" s="1" t="n">
        <v>46221</v>
      </c>
      <c r="F636" t="inlineStr">
        <is>
          <t>BLEKINGE LÄN</t>
        </is>
      </c>
      <c r="G636" t="inlineStr">
        <is>
          <t>RONNEBY</t>
        </is>
      </c>
      <c r="H636" t="inlineStr">
        <is>
          <t>Övriga Aktiebolag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357-2026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46064</v>
      </c>
      <c r="E637" s="1" t="n">
        <v>46221</v>
      </c>
      <c r="F637" t="inlineStr">
        <is>
          <t>BLEKINGE LÄN</t>
        </is>
      </c>
      <c r="G637" t="inlineStr">
        <is>
          <t>RONNEBY</t>
        </is>
      </c>
      <c r="I637" t="n">
        <v>24.3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>
      <c r="A638" t="inlineStr">
        <is>
          <t>S 782-2026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46099</v>
      </c>
      <c r="E638" s="1" t="n">
        <v>46221</v>
      </c>
      <c r="F638" t="inlineStr">
        <is>
          <t>BLEKINGE LÄN</t>
        </is>
      </c>
      <c r="G638" t="inlineStr">
        <is>
          <t>RONNEBY</t>
        </is>
      </c>
      <c r="I638" t="n">
        <v>26.6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2026-07-18T01:24:14Z</dcterms:created>
  <dcterms:modified xmlns:dcterms="http://purl.org/dc/terms/" xmlns:xsi="http://www.w3.org/2001/XMLSchema-instance" xsi:type="dcterms:W3CDTF">2026-07-18T01:24:14Z</dcterms:modified>
</cp:coreProperties>
</file>