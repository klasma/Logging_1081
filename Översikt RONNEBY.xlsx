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45589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45589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45589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45589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45589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45589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45589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45589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45589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45589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45589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45589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45589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41708-2021</t>
        </is>
      </c>
      <c r="B15" s="1" t="n">
        <v>44425</v>
      </c>
      <c r="C15" s="1" t="n">
        <v>45589</v>
      </c>
      <c r="D15" t="inlineStr">
        <is>
          <t>BLEKINGE LÄN</t>
        </is>
      </c>
      <c r="E15" t="inlineStr">
        <is>
          <t>RONNEBY</t>
        </is>
      </c>
      <c r="G15" t="n">
        <v>7.7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Ekticka</t>
        </is>
      </c>
      <c r="S15">
        <f>HYPERLINK("https://klasma.github.io/Logging_1081/artfynd/A 41708-2021 artfynd.xlsx", "A 41708-2021")</f>
        <v/>
      </c>
      <c r="T15">
        <f>HYPERLINK("https://klasma.github.io/Logging_1081/kartor/A 41708-2021 karta.png", "A 41708-2021")</f>
        <v/>
      </c>
      <c r="V15">
        <f>HYPERLINK("https://klasma.github.io/Logging_1081/klagomål/A 41708-2021 FSC-klagomål.docx", "A 41708-2021")</f>
        <v/>
      </c>
      <c r="W15">
        <f>HYPERLINK("https://klasma.github.io/Logging_1081/klagomålsmail/A 41708-2021 FSC-klagomål mail.docx", "A 41708-2021")</f>
        <v/>
      </c>
      <c r="X15">
        <f>HYPERLINK("https://klasma.github.io/Logging_1081/tillsyn/A 41708-2021 tillsynsbegäran.docx", "A 41708-2021")</f>
        <v/>
      </c>
      <c r="Y15">
        <f>HYPERLINK("https://klasma.github.io/Logging_1081/tillsynsmail/A 41708-2021 tillsynsbegäran mail.docx", "A 41708-2021")</f>
        <v/>
      </c>
    </row>
    <row r="16" ht="15" customHeight="1">
      <c r="A16" t="inlineStr">
        <is>
          <t>A 41702-2021</t>
        </is>
      </c>
      <c r="B16" s="1" t="n">
        <v>44425</v>
      </c>
      <c r="C16" s="1" t="n">
        <v>45589</v>
      </c>
      <c r="D16" t="inlineStr">
        <is>
          <t>BLEKINGE LÄN</t>
        </is>
      </c>
      <c r="E16" t="inlineStr">
        <is>
          <t>RONNEBY</t>
        </is>
      </c>
      <c r="G16" t="n">
        <v>1.6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HYPERLINK("https://klasma.github.io/Logging_1081/artfynd/A 41702-2021 artfynd.xlsx", "A 41702-2021")</f>
        <v/>
      </c>
      <c r="T16">
        <f>HYPERLINK("https://klasma.github.io/Logging_1081/kartor/A 41702-2021 karta.png", "A 41702-2021")</f>
        <v/>
      </c>
      <c r="V16">
        <f>HYPERLINK("https://klasma.github.io/Logging_1081/klagomål/A 41702-2021 FSC-klagomål.docx", "A 41702-2021")</f>
        <v/>
      </c>
      <c r="W16">
        <f>HYPERLINK("https://klasma.github.io/Logging_1081/klagomålsmail/A 41702-2021 FSC-klagomål mail.docx", "A 41702-2021")</f>
        <v/>
      </c>
      <c r="X16">
        <f>HYPERLINK("https://klasma.github.io/Logging_1081/tillsyn/A 41702-2021 tillsynsbegäran.docx", "A 41702-2021")</f>
        <v/>
      </c>
      <c r="Y16">
        <f>HYPERLINK("https://klasma.github.io/Logging_1081/tillsynsmail/A 41702-2021 tillsynsbegäran mail.docx", "A 41702-2021")</f>
        <v/>
      </c>
    </row>
    <row r="17" ht="15" customHeight="1">
      <c r="A17" t="inlineStr">
        <is>
          <t>A 4028-2023</t>
        </is>
      </c>
      <c r="B17" s="1" t="n">
        <v>44952</v>
      </c>
      <c r="C17" s="1" t="n">
        <v>45589</v>
      </c>
      <c r="D17" t="inlineStr">
        <is>
          <t>BLEKINGE LÄN</t>
        </is>
      </c>
      <c r="E17" t="inlineStr">
        <is>
          <t>RONNEBY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HYPERLINK("https://klasma.github.io/Logging_1081/artfynd/A 4028-2023 artfynd.xlsx", "A 4028-2023")</f>
        <v/>
      </c>
      <c r="T17">
        <f>HYPERLINK("https://klasma.github.io/Logging_1081/kartor/A 4028-2023 karta.png", "A 4028-2023")</f>
        <v/>
      </c>
      <c r="V17">
        <f>HYPERLINK("https://klasma.github.io/Logging_1081/klagomål/A 4028-2023 FSC-klagomål.docx", "A 4028-2023")</f>
        <v/>
      </c>
      <c r="W17">
        <f>HYPERLINK("https://klasma.github.io/Logging_1081/klagomålsmail/A 4028-2023 FSC-klagomål mail.docx", "A 4028-2023")</f>
        <v/>
      </c>
      <c r="X17">
        <f>HYPERLINK("https://klasma.github.io/Logging_1081/tillsyn/A 4028-2023 tillsynsbegäran.docx", "A 4028-2023")</f>
        <v/>
      </c>
      <c r="Y17">
        <f>HYPERLINK("https://klasma.github.io/Logging_1081/tillsynsmail/A 4028-2023 tillsynsbegäran mail.docx", "A 4028-2023")</f>
        <v/>
      </c>
    </row>
    <row r="18" ht="15" customHeight="1">
      <c r="A18" t="inlineStr">
        <is>
          <t>A 9309-2023</t>
        </is>
      </c>
      <c r="B18" s="1" t="n">
        <v>44980</v>
      </c>
      <c r="C18" s="1" t="n">
        <v>45589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10064-2023</t>
        </is>
      </c>
      <c r="B19" s="1" t="n">
        <v>44985</v>
      </c>
      <c r="C19" s="1" t="n">
        <v>45589</v>
      </c>
      <c r="D19" t="inlineStr">
        <is>
          <t>BLEKINGE LÄN</t>
        </is>
      </c>
      <c r="E19" t="inlineStr">
        <is>
          <t>RONNEBY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HYPERLINK("https://klasma.github.io/Logging_1081/artfynd/A 10064-2023 artfynd.xlsx", "A 10064-2023")</f>
        <v/>
      </c>
      <c r="T19">
        <f>HYPERLINK("https://klasma.github.io/Logging_1081/kartor/A 10064-2023 karta.png", "A 10064-2023")</f>
        <v/>
      </c>
      <c r="V19">
        <f>HYPERLINK("https://klasma.github.io/Logging_1081/klagomål/A 10064-2023 FSC-klagomål.docx", "A 10064-2023")</f>
        <v/>
      </c>
      <c r="W19">
        <f>HYPERLINK("https://klasma.github.io/Logging_1081/klagomålsmail/A 10064-2023 FSC-klagomål mail.docx", "A 10064-2023")</f>
        <v/>
      </c>
      <c r="X19">
        <f>HYPERLINK("https://klasma.github.io/Logging_1081/tillsyn/A 10064-2023 tillsynsbegäran.docx", "A 10064-2023")</f>
        <v/>
      </c>
      <c r="Y19">
        <f>HYPERLINK("https://klasma.github.io/Logging_1081/tillsynsmail/A 10064-2023 tillsynsbegäran mail.docx", "A 10064-2023")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45589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45589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32281-2023</t>
        </is>
      </c>
      <c r="B22" s="1" t="n">
        <v>45120</v>
      </c>
      <c r="C22" s="1" t="n">
        <v>45589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9.1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HYPERLINK("https://klasma.github.io/Logging_1081/artfynd/A 32281-2023 artfynd.xlsx", "A 32281-2023")</f>
        <v/>
      </c>
      <c r="T22">
        <f>HYPERLINK("https://klasma.github.io/Logging_1081/kartor/A 32281-2023 karta.png", "A 32281-2023")</f>
        <v/>
      </c>
      <c r="U22">
        <f>HYPERLINK("https://klasma.github.io/Logging_1081/knärot/A 32281-2023 karta knärot.png", "A 32281-2023")</f>
        <v/>
      </c>
      <c r="V22">
        <f>HYPERLINK("https://klasma.github.io/Logging_1081/klagomål/A 32281-2023 FSC-klagomål.docx", "A 32281-2023")</f>
        <v/>
      </c>
      <c r="W22">
        <f>HYPERLINK("https://klasma.github.io/Logging_1081/klagomålsmail/A 32281-2023 FSC-klagomål mail.docx", "A 32281-2023")</f>
        <v/>
      </c>
      <c r="X22">
        <f>HYPERLINK("https://klasma.github.io/Logging_1081/tillsyn/A 32281-2023 tillsynsbegäran.docx", "A 32281-2023")</f>
        <v/>
      </c>
      <c r="Y22">
        <f>HYPERLINK("https://klasma.github.io/Logging_1081/tillsynsmail/A 32281-2023 tillsynsbegäran mail.docx", "A 32281-2023")</f>
        <v/>
      </c>
    </row>
    <row r="23" ht="15" customHeight="1">
      <c r="A23" t="inlineStr">
        <is>
          <t>A 35060-2023</t>
        </is>
      </c>
      <c r="B23" s="1" t="n">
        <v>45145</v>
      </c>
      <c r="C23" s="1" t="n">
        <v>45589</v>
      </c>
      <c r="D23" t="inlineStr">
        <is>
          <t>BLEKINGE LÄN</t>
        </is>
      </c>
      <c r="E23" t="inlineStr">
        <is>
          <t>RONNEBY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35060-2023 artfynd.xlsx", "A 35060-2023")</f>
        <v/>
      </c>
      <c r="T23">
        <f>HYPERLINK("https://klasma.github.io/Logging_1081/kartor/A 35060-2023 karta.png", "A 35060-2023")</f>
        <v/>
      </c>
      <c r="V23">
        <f>HYPERLINK("https://klasma.github.io/Logging_1081/klagomål/A 35060-2023 FSC-klagomål.docx", "A 35060-2023")</f>
        <v/>
      </c>
      <c r="W23">
        <f>HYPERLINK("https://klasma.github.io/Logging_1081/klagomålsmail/A 35060-2023 FSC-klagomål mail.docx", "A 35060-2023")</f>
        <v/>
      </c>
      <c r="X23">
        <f>HYPERLINK("https://klasma.github.io/Logging_1081/tillsyn/A 35060-2023 tillsynsbegäran.docx", "A 35060-2023")</f>
        <v/>
      </c>
      <c r="Y23">
        <f>HYPERLINK("https://klasma.github.io/Logging_1081/tillsynsmail/A 35060-2023 tillsynsbegäran mail.docx", "A 35060-2023")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45589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56459-2023</t>
        </is>
      </c>
      <c r="B25" s="1" t="n">
        <v>45237</v>
      </c>
      <c r="C25" s="1" t="n">
        <v>45589</v>
      </c>
      <c r="D25" t="inlineStr">
        <is>
          <t>BLEKINGE LÄN</t>
        </is>
      </c>
      <c r="E25" t="inlineStr">
        <is>
          <t>RONNEBY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HYPERLINK("https://klasma.github.io/Logging_1081/artfynd/A 56459-2023 artfynd.xlsx", "A 56459-2023")</f>
        <v/>
      </c>
      <c r="T25">
        <f>HYPERLINK("https://klasma.github.io/Logging_1081/kartor/A 56459-2023 karta.png", "A 56459-2023")</f>
        <v/>
      </c>
      <c r="V25">
        <f>HYPERLINK("https://klasma.github.io/Logging_1081/klagomål/A 56459-2023 FSC-klagomål.docx", "A 56459-2023")</f>
        <v/>
      </c>
      <c r="W25">
        <f>HYPERLINK("https://klasma.github.io/Logging_1081/klagomålsmail/A 56459-2023 FSC-klagomål mail.docx", "A 56459-2023")</f>
        <v/>
      </c>
      <c r="X25">
        <f>HYPERLINK("https://klasma.github.io/Logging_1081/tillsyn/A 56459-2023 tillsynsbegäran.docx", "A 56459-2023")</f>
        <v/>
      </c>
      <c r="Y25">
        <f>HYPERLINK("https://klasma.github.io/Logging_1081/tillsynsmail/A 56459-2023 tillsynsbegäran mail.docx", "A 56459-2023")</f>
        <v/>
      </c>
    </row>
    <row r="26" ht="15" customHeight="1">
      <c r="A26" t="inlineStr">
        <is>
          <t>A 3656-2024</t>
        </is>
      </c>
      <c r="B26" s="1" t="n">
        <v>45321</v>
      </c>
      <c r="C26" s="1" t="n">
        <v>45589</v>
      </c>
      <c r="D26" t="inlineStr">
        <is>
          <t>BLEKINGE LÄN</t>
        </is>
      </c>
      <c r="E26" t="inlineStr">
        <is>
          <t>RONNEBY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HYPERLINK("https://klasma.github.io/Logging_1081/artfynd/A 3656-2024 artfynd.xlsx", "A 3656-2024")</f>
        <v/>
      </c>
      <c r="T26">
        <f>HYPERLINK("https://klasma.github.io/Logging_1081/kartor/A 3656-2024 karta.png", "A 3656-2024")</f>
        <v/>
      </c>
      <c r="V26">
        <f>HYPERLINK("https://klasma.github.io/Logging_1081/klagomål/A 3656-2024 FSC-klagomål.docx", "A 3656-2024")</f>
        <v/>
      </c>
      <c r="W26">
        <f>HYPERLINK("https://klasma.github.io/Logging_1081/klagomålsmail/A 3656-2024 FSC-klagomål mail.docx", "A 3656-2024")</f>
        <v/>
      </c>
      <c r="X26">
        <f>HYPERLINK("https://klasma.github.io/Logging_1081/tillsyn/A 3656-2024 tillsynsbegäran.docx", "A 3656-2024")</f>
        <v/>
      </c>
      <c r="Y26">
        <f>HYPERLINK("https://klasma.github.io/Logging_1081/tillsynsmail/A 3656-2024 tillsynsbegäran mail.docx", "A 3656-2024")</f>
        <v/>
      </c>
    </row>
    <row r="27" ht="15" customHeight="1">
      <c r="A27" t="inlineStr">
        <is>
          <t>A 7449-2024</t>
        </is>
      </c>
      <c r="B27" s="1" t="n">
        <v>45345</v>
      </c>
      <c r="C27" s="1" t="n">
        <v>45589</v>
      </c>
      <c r="D27" t="inlineStr">
        <is>
          <t>BLEKINGE LÄN</t>
        </is>
      </c>
      <c r="E27" t="inlineStr">
        <is>
          <t>RONNEBY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HYPERLINK("https://klasma.github.io/Logging_1081/artfynd/A 7449-2024 artfynd.xlsx", "A 7449-2024")</f>
        <v/>
      </c>
      <c r="T27">
        <f>HYPERLINK("https://klasma.github.io/Logging_1081/kartor/A 7449-2024 karta.png", "A 7449-2024")</f>
        <v/>
      </c>
      <c r="V27">
        <f>HYPERLINK("https://klasma.github.io/Logging_1081/klagomål/A 7449-2024 FSC-klagomål.docx", "A 7449-2024")</f>
        <v/>
      </c>
      <c r="W27">
        <f>HYPERLINK("https://klasma.github.io/Logging_1081/klagomålsmail/A 7449-2024 FSC-klagomål mail.docx", "A 7449-2024")</f>
        <v/>
      </c>
      <c r="X27">
        <f>HYPERLINK("https://klasma.github.io/Logging_1081/tillsyn/A 7449-2024 tillsynsbegäran.docx", "A 7449-2024")</f>
        <v/>
      </c>
      <c r="Y27">
        <f>HYPERLINK("https://klasma.github.io/Logging_1081/tillsynsmail/A 7449-2024 tillsynsbegäran mail.docx", "A 7449-2024")</f>
        <v/>
      </c>
      <c r="Z27">
        <f>HYPERLINK("https://klasma.github.io/Logging_1081/fåglar/A 7449-2024 prioriterade fågelarter.docx", "A 7449-2024")</f>
        <v/>
      </c>
    </row>
    <row r="28" ht="15" customHeight="1">
      <c r="A28" t="inlineStr">
        <is>
          <t>A 8961-2024</t>
        </is>
      </c>
      <c r="B28" s="1" t="n">
        <v>45357</v>
      </c>
      <c r="C28" s="1" t="n">
        <v>45589</v>
      </c>
      <c r="D28" t="inlineStr">
        <is>
          <t>BLEKINGE LÄN</t>
        </is>
      </c>
      <c r="E28" t="inlineStr">
        <is>
          <t>RONNEBY</t>
        </is>
      </c>
      <c r="G28" t="n">
        <v>19.7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HYPERLINK("https://klasma.github.io/Logging_1081/artfynd/A 8961-2024 artfynd.xlsx", "A 8961-2024")</f>
        <v/>
      </c>
      <c r="T28">
        <f>HYPERLINK("https://klasma.github.io/Logging_1081/kartor/A 8961-2024 karta.png", "A 8961-2024")</f>
        <v/>
      </c>
      <c r="V28">
        <f>HYPERLINK("https://klasma.github.io/Logging_1081/klagomål/A 8961-2024 FSC-klagomål.docx", "A 8961-2024")</f>
        <v/>
      </c>
      <c r="W28">
        <f>HYPERLINK("https://klasma.github.io/Logging_1081/klagomålsmail/A 8961-2024 FSC-klagomål mail.docx", "A 8961-2024")</f>
        <v/>
      </c>
      <c r="X28">
        <f>HYPERLINK("https://klasma.github.io/Logging_1081/tillsyn/A 8961-2024 tillsynsbegäran.docx", "A 8961-2024")</f>
        <v/>
      </c>
      <c r="Y28">
        <f>HYPERLINK("https://klasma.github.io/Logging_1081/tillsynsmail/A 8961-2024 tillsynsbegäran mail.docx", "A 8961-2024")</f>
        <v/>
      </c>
    </row>
    <row r="29" ht="15" customHeight="1">
      <c r="A29" t="inlineStr">
        <is>
          <t>A 24296-2024</t>
        </is>
      </c>
      <c r="B29" s="1" t="n">
        <v>45457</v>
      </c>
      <c r="C29" s="1" t="n">
        <v>45589</v>
      </c>
      <c r="D29" t="inlineStr">
        <is>
          <t>BLEKINGE LÄN</t>
        </is>
      </c>
      <c r="E29" t="inlineStr">
        <is>
          <t>RONNEBY</t>
        </is>
      </c>
      <c r="G29" t="n">
        <v>12.7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HYPERLINK("https://klasma.github.io/Logging_1081/artfynd/A 24296-2024 artfynd.xlsx", "A 24296-2024")</f>
        <v/>
      </c>
      <c r="T29">
        <f>HYPERLINK("https://klasma.github.io/Logging_1081/kartor/A 24296-2024 karta.png", "A 24296-2024")</f>
        <v/>
      </c>
      <c r="V29">
        <f>HYPERLINK("https://klasma.github.io/Logging_1081/klagomål/A 24296-2024 FSC-klagomål.docx", "A 24296-2024")</f>
        <v/>
      </c>
      <c r="W29">
        <f>HYPERLINK("https://klasma.github.io/Logging_1081/klagomålsmail/A 24296-2024 FSC-klagomål mail.docx", "A 24296-2024")</f>
        <v/>
      </c>
      <c r="X29">
        <f>HYPERLINK("https://klasma.github.io/Logging_1081/tillsyn/A 24296-2024 tillsynsbegäran.docx", "A 24296-2024")</f>
        <v/>
      </c>
      <c r="Y29">
        <f>HYPERLINK("https://klasma.github.io/Logging_1081/tillsynsmail/A 24296-2024 tillsynsbegäran mail.docx", "A 24296-2024")</f>
        <v/>
      </c>
    </row>
    <row r="30" ht="15" customHeight="1">
      <c r="A30" t="inlineStr">
        <is>
          <t>A 24682-2024</t>
        </is>
      </c>
      <c r="B30" s="1" t="n">
        <v>45460</v>
      </c>
      <c r="C30" s="1" t="n">
        <v>45589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Bokkantlav</t>
        </is>
      </c>
      <c r="S30">
        <f>HYPERLINK("https://klasma.github.io/Logging_1081/artfynd/A 24682-2024 artfynd.xlsx", "A 24682-2024")</f>
        <v/>
      </c>
      <c r="T30">
        <f>HYPERLINK("https://klasma.github.io/Logging_1081/kartor/A 24682-2024 karta.png", "A 24682-2024")</f>
        <v/>
      </c>
      <c r="V30">
        <f>HYPERLINK("https://klasma.github.io/Logging_1081/klagomål/A 24682-2024 FSC-klagomål.docx", "A 24682-2024")</f>
        <v/>
      </c>
      <c r="W30">
        <f>HYPERLINK("https://klasma.github.io/Logging_1081/klagomålsmail/A 24682-2024 FSC-klagomål mail.docx", "A 24682-2024")</f>
        <v/>
      </c>
      <c r="X30">
        <f>HYPERLINK("https://klasma.github.io/Logging_1081/tillsyn/A 24682-2024 tillsynsbegäran.docx", "A 24682-2024")</f>
        <v/>
      </c>
      <c r="Y30">
        <f>HYPERLINK("https://klasma.github.io/Logging_1081/tillsynsmail/A 24682-2024 tillsynsbegäran mail.docx", "A 24682-2024")</f>
        <v/>
      </c>
    </row>
    <row r="31" ht="15" customHeight="1">
      <c r="A31" t="inlineStr">
        <is>
          <t>A 27128-2024</t>
        </is>
      </c>
      <c r="B31" s="1" t="n">
        <v>45471</v>
      </c>
      <c r="C31" s="1" t="n">
        <v>45589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27128-2024 artfynd.xlsx", "A 27128-2024")</f>
        <v/>
      </c>
      <c r="T31">
        <f>HYPERLINK("https://klasma.github.io/Logging_1081/kartor/A 27128-2024 karta.png", "A 27128-2024")</f>
        <v/>
      </c>
      <c r="V31">
        <f>HYPERLINK("https://klasma.github.io/Logging_1081/klagomål/A 27128-2024 FSC-klagomål.docx", "A 27128-2024")</f>
        <v/>
      </c>
      <c r="W31">
        <f>HYPERLINK("https://klasma.github.io/Logging_1081/klagomålsmail/A 27128-2024 FSC-klagomål mail.docx", "A 27128-2024")</f>
        <v/>
      </c>
      <c r="X31">
        <f>HYPERLINK("https://klasma.github.io/Logging_1081/tillsyn/A 27128-2024 tillsynsbegäran.docx", "A 27128-2024")</f>
        <v/>
      </c>
      <c r="Y31">
        <f>HYPERLINK("https://klasma.github.io/Logging_1081/tillsynsmail/A 27128-2024 tillsynsbegäran mail.docx", "A 27128-2024")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45589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41050-2024</t>
        </is>
      </c>
      <c r="B33" s="1" t="n">
        <v>45559</v>
      </c>
      <c r="C33" s="1" t="n">
        <v>45589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41050-2024 artfynd.xlsx", "A 41050-2024")</f>
        <v/>
      </c>
      <c r="T33">
        <f>HYPERLINK("https://klasma.github.io/Logging_1081/kartor/A 41050-2024 karta.png", "A 41050-2024")</f>
        <v/>
      </c>
      <c r="V33">
        <f>HYPERLINK("https://klasma.github.io/Logging_1081/klagomål/A 41050-2024 FSC-klagomål.docx", "A 41050-2024")</f>
        <v/>
      </c>
      <c r="W33">
        <f>HYPERLINK("https://klasma.github.io/Logging_1081/klagomålsmail/A 41050-2024 FSC-klagomål mail.docx", "A 41050-2024")</f>
        <v/>
      </c>
      <c r="X33">
        <f>HYPERLINK("https://klasma.github.io/Logging_1081/tillsyn/A 41050-2024 tillsynsbegäran.docx", "A 41050-2024")</f>
        <v/>
      </c>
      <c r="Y33">
        <f>HYPERLINK("https://klasma.github.io/Logging_1081/tillsynsmail/A 41050-2024 tillsynsbegäran mail.docx", "A 41050-2024")</f>
        <v/>
      </c>
    </row>
    <row r="34" ht="15" customHeight="1">
      <c r="A34" t="inlineStr">
        <is>
          <t>A 18336-2019</t>
        </is>
      </c>
      <c r="B34" s="1" t="n">
        <v>43558</v>
      </c>
      <c r="C34" s="1" t="n">
        <v>45589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18333-2019</t>
        </is>
      </c>
      <c r="B35" s="1" t="n">
        <v>43558</v>
      </c>
      <c r="C35" s="1" t="n">
        <v>45589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18836-2019</t>
        </is>
      </c>
      <c r="B36" s="1" t="n">
        <v>43563</v>
      </c>
      <c r="C36" s="1" t="n">
        <v>45589</v>
      </c>
      <c r="D36" t="inlineStr">
        <is>
          <t>BLEKINGE LÄN</t>
        </is>
      </c>
      <c r="E36" t="inlineStr">
        <is>
          <t>RONNEBY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18858-2019</t>
        </is>
      </c>
      <c r="B37" s="1" t="n">
        <v>43563</v>
      </c>
      <c r="C37" s="1" t="n">
        <v>45589</v>
      </c>
      <c r="D37" t="inlineStr">
        <is>
          <t>BLEKINGE LÄN</t>
        </is>
      </c>
      <c r="E37" t="inlineStr">
        <is>
          <t>RONNEBY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19107-2019</t>
        </is>
      </c>
      <c r="B38" s="1" t="n">
        <v>43564</v>
      </c>
      <c r="C38" s="1" t="n">
        <v>45589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19513-2019</t>
        </is>
      </c>
      <c r="B39" s="1" t="n">
        <v>43565</v>
      </c>
      <c r="C39" s="1" t="n">
        <v>45589</v>
      </c>
      <c r="D39" t="inlineStr">
        <is>
          <t>BLEKINGE LÄN</t>
        </is>
      </c>
      <c r="E39" t="inlineStr">
        <is>
          <t>RONNEBY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20366-2019</t>
        </is>
      </c>
      <c r="B40" s="1" t="n">
        <v>43570</v>
      </c>
      <c r="C40" s="1" t="n">
        <v>45589</v>
      </c>
      <c r="D40" t="inlineStr">
        <is>
          <t>BLEKINGE LÄN</t>
        </is>
      </c>
      <c r="E40" t="inlineStr">
        <is>
          <t>RONNEBY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20320-2019</t>
        </is>
      </c>
      <c r="B41" s="1" t="n">
        <v>43570</v>
      </c>
      <c r="C41" s="1" t="n">
        <v>45589</v>
      </c>
      <c r="D41" t="inlineStr">
        <is>
          <t>BLEKINGE LÄN</t>
        </is>
      </c>
      <c r="E41" t="inlineStr">
        <is>
          <t>RONNEBY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20192-2019</t>
        </is>
      </c>
      <c r="B42" s="1" t="n">
        <v>43570</v>
      </c>
      <c r="C42" s="1" t="n">
        <v>45589</v>
      </c>
      <c r="D42" t="inlineStr">
        <is>
          <t>BLEKINGE LÄN</t>
        </is>
      </c>
      <c r="E42" t="inlineStr">
        <is>
          <t>RONNEBY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20317-2019</t>
        </is>
      </c>
      <c r="B43" s="1" t="n">
        <v>43570</v>
      </c>
      <c r="C43" s="1" t="n">
        <v>45589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20478-2019</t>
        </is>
      </c>
      <c r="B44" s="1" t="n">
        <v>43572</v>
      </c>
      <c r="C44" s="1" t="n">
        <v>45589</v>
      </c>
      <c r="D44" t="inlineStr">
        <is>
          <t>BLEKINGE LÄN</t>
        </is>
      </c>
      <c r="E44" t="inlineStr">
        <is>
          <t>RONNEBY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20618-2019</t>
        </is>
      </c>
      <c r="B45" s="1" t="n">
        <v>43572</v>
      </c>
      <c r="C45" s="1" t="n">
        <v>45589</v>
      </c>
      <c r="D45" t="inlineStr">
        <is>
          <t>BLEKINGE LÄN</t>
        </is>
      </c>
      <c r="E45" t="inlineStr">
        <is>
          <t>RONNEBY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20615-2019</t>
        </is>
      </c>
      <c r="B46" s="1" t="n">
        <v>43572</v>
      </c>
      <c r="C46" s="1" t="n">
        <v>45589</v>
      </c>
      <c r="D46" t="inlineStr">
        <is>
          <t>BLEKINGE LÄN</t>
        </is>
      </c>
      <c r="E46" t="inlineStr">
        <is>
          <t>RONNEBY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20762-2019</t>
        </is>
      </c>
      <c r="B47" s="1" t="n">
        <v>43573</v>
      </c>
      <c r="C47" s="1" t="n">
        <v>45589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20764-2019</t>
        </is>
      </c>
      <c r="B48" s="1" t="n">
        <v>43573</v>
      </c>
      <c r="C48" s="1" t="n">
        <v>45589</v>
      </c>
      <c r="D48" t="inlineStr">
        <is>
          <t>BLEKINGE LÄN</t>
        </is>
      </c>
      <c r="E48" t="inlineStr">
        <is>
          <t>RONNEBY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20751-2019</t>
        </is>
      </c>
      <c r="B49" s="1" t="n">
        <v>43573</v>
      </c>
      <c r="C49" s="1" t="n">
        <v>45589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20758-2019</t>
        </is>
      </c>
      <c r="B50" s="1" t="n">
        <v>43573</v>
      </c>
      <c r="C50" s="1" t="n">
        <v>45589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20745-2019</t>
        </is>
      </c>
      <c r="B51" s="1" t="n">
        <v>43573</v>
      </c>
      <c r="C51" s="1" t="n">
        <v>45589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20771-2019</t>
        </is>
      </c>
      <c r="B52" s="1" t="n">
        <v>43573</v>
      </c>
      <c r="C52" s="1" t="n">
        <v>45589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20755-2019</t>
        </is>
      </c>
      <c r="B53" s="1" t="n">
        <v>43573</v>
      </c>
      <c r="C53" s="1" t="n">
        <v>45589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20802-2019</t>
        </is>
      </c>
      <c r="B54" s="1" t="n">
        <v>43573</v>
      </c>
      <c r="C54" s="1" t="n">
        <v>45589</v>
      </c>
      <c r="D54" t="inlineStr">
        <is>
          <t>BLEKINGE LÄN</t>
        </is>
      </c>
      <c r="E54" t="inlineStr">
        <is>
          <t>RONNEBY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21539-2019</t>
        </is>
      </c>
      <c r="B55" s="1" t="n">
        <v>43580</v>
      </c>
      <c r="C55" s="1" t="n">
        <v>45589</v>
      </c>
      <c r="D55" t="inlineStr">
        <is>
          <t>BLEKINGE LÄN</t>
        </is>
      </c>
      <c r="E55" t="inlineStr">
        <is>
          <t>RONNEBY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21544-2019</t>
        </is>
      </c>
      <c r="B56" s="1" t="n">
        <v>43580</v>
      </c>
      <c r="C56" s="1" t="n">
        <v>45589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21779-2019</t>
        </is>
      </c>
      <c r="B57" s="1" t="n">
        <v>43581</v>
      </c>
      <c r="C57" s="1" t="n">
        <v>45589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21690-2019</t>
        </is>
      </c>
      <c r="B58" s="1" t="n">
        <v>43581</v>
      </c>
      <c r="C58" s="1" t="n">
        <v>45589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24408-2019</t>
        </is>
      </c>
      <c r="B59" s="1" t="n">
        <v>43600</v>
      </c>
      <c r="C59" s="1" t="n">
        <v>45589</v>
      </c>
      <c r="D59" t="inlineStr">
        <is>
          <t>BLEKINGE LÄN</t>
        </is>
      </c>
      <c r="E59" t="inlineStr">
        <is>
          <t>RONNEBY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24493-2019</t>
        </is>
      </c>
      <c r="B60" s="1" t="n">
        <v>43600</v>
      </c>
      <c r="C60" s="1" t="n">
        <v>45589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24416-2019</t>
        </is>
      </c>
      <c r="B61" s="1" t="n">
        <v>43600</v>
      </c>
      <c r="C61" s="1" t="n">
        <v>45589</v>
      </c>
      <c r="D61" t="inlineStr">
        <is>
          <t>BLEKINGE LÄN</t>
        </is>
      </c>
      <c r="E61" t="inlineStr">
        <is>
          <t>RONNEBY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24655-2019</t>
        </is>
      </c>
      <c r="B62" s="1" t="n">
        <v>43601</v>
      </c>
      <c r="C62" s="1" t="n">
        <v>45589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24663-2019</t>
        </is>
      </c>
      <c r="B63" s="1" t="n">
        <v>43601</v>
      </c>
      <c r="C63" s="1" t="n">
        <v>45589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25903-2019</t>
        </is>
      </c>
      <c r="B64" s="1" t="n">
        <v>43605</v>
      </c>
      <c r="C64" s="1" t="n">
        <v>45589</v>
      </c>
      <c r="D64" t="inlineStr">
        <is>
          <t>BLEKINGE LÄN</t>
        </is>
      </c>
      <c r="E64" t="inlineStr">
        <is>
          <t>RONNEBY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26959-2019</t>
        </is>
      </c>
      <c r="B65" s="1" t="n">
        <v>43614</v>
      </c>
      <c r="C65" s="1" t="n">
        <v>45589</v>
      </c>
      <c r="D65" t="inlineStr">
        <is>
          <t>BLEKINGE LÄN</t>
        </is>
      </c>
      <c r="E65" t="inlineStr">
        <is>
          <t>RONNEBY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27748-2019</t>
        </is>
      </c>
      <c r="B66" s="1" t="n">
        <v>43619</v>
      </c>
      <c r="C66" s="1" t="n">
        <v>45589</v>
      </c>
      <c r="D66" t="inlineStr">
        <is>
          <t>BLEKINGE LÄN</t>
        </is>
      </c>
      <c r="E66" t="inlineStr">
        <is>
          <t>RONNEBY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27753-2019</t>
        </is>
      </c>
      <c r="B67" s="1" t="n">
        <v>43619</v>
      </c>
      <c r="C67" s="1" t="n">
        <v>45589</v>
      </c>
      <c r="D67" t="inlineStr">
        <is>
          <t>BLEKINGE LÄN</t>
        </is>
      </c>
      <c r="E67" t="inlineStr">
        <is>
          <t>RONNEBY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27749-2019</t>
        </is>
      </c>
      <c r="B68" s="1" t="n">
        <v>43619</v>
      </c>
      <c r="C68" s="1" t="n">
        <v>45589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27742-2019</t>
        </is>
      </c>
      <c r="B69" s="1" t="n">
        <v>43619</v>
      </c>
      <c r="C69" s="1" t="n">
        <v>45589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27750-2019</t>
        </is>
      </c>
      <c r="B70" s="1" t="n">
        <v>43619</v>
      </c>
      <c r="C70" s="1" t="n">
        <v>45589</v>
      </c>
      <c r="D70" t="inlineStr">
        <is>
          <t>BLEKINGE LÄN</t>
        </is>
      </c>
      <c r="E70" t="inlineStr">
        <is>
          <t>RONNEBY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27752-2019</t>
        </is>
      </c>
      <c r="B71" s="1" t="n">
        <v>43619</v>
      </c>
      <c r="C71" s="1" t="n">
        <v>45589</v>
      </c>
      <c r="D71" t="inlineStr">
        <is>
          <t>BLEKINGE LÄN</t>
        </is>
      </c>
      <c r="E71" t="inlineStr">
        <is>
          <t>RONNEBY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27744-2019</t>
        </is>
      </c>
      <c r="B72" s="1" t="n">
        <v>43619</v>
      </c>
      <c r="C72" s="1" t="n">
        <v>45589</v>
      </c>
      <c r="D72" t="inlineStr">
        <is>
          <t>BLEKINGE LÄN</t>
        </is>
      </c>
      <c r="E72" t="inlineStr">
        <is>
          <t>RONNEBY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28003-2019</t>
        </is>
      </c>
      <c r="B73" s="1" t="n">
        <v>43621</v>
      </c>
      <c r="C73" s="1" t="n">
        <v>45589</v>
      </c>
      <c r="D73" t="inlineStr">
        <is>
          <t>BLEKINGE LÄN</t>
        </is>
      </c>
      <c r="E73" t="inlineStr">
        <is>
          <t>RONNEBY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28839-2019</t>
        </is>
      </c>
      <c r="B74" s="1" t="n">
        <v>43627</v>
      </c>
      <c r="C74" s="1" t="n">
        <v>45589</v>
      </c>
      <c r="D74" t="inlineStr">
        <is>
          <t>BLEKINGE LÄN</t>
        </is>
      </c>
      <c r="E74" t="inlineStr">
        <is>
          <t>RONNEBY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29405-2019</t>
        </is>
      </c>
      <c r="B75" s="1" t="n">
        <v>43629</v>
      </c>
      <c r="C75" s="1" t="n">
        <v>45589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11.8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29417-2019</t>
        </is>
      </c>
      <c r="B76" s="1" t="n">
        <v>43629</v>
      </c>
      <c r="C76" s="1" t="n">
        <v>45589</v>
      </c>
      <c r="D76" t="inlineStr">
        <is>
          <t>BLEKINGE LÄN</t>
        </is>
      </c>
      <c r="E76" t="inlineStr">
        <is>
          <t>RONNEBY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29404-2019</t>
        </is>
      </c>
      <c r="B77" s="1" t="n">
        <v>43629</v>
      </c>
      <c r="C77" s="1" t="n">
        <v>45589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29927-2019</t>
        </is>
      </c>
      <c r="B78" s="1" t="n">
        <v>43630</v>
      </c>
      <c r="C78" s="1" t="n">
        <v>45589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31476-2019</t>
        </is>
      </c>
      <c r="B79" s="1" t="n">
        <v>43640</v>
      </c>
      <c r="C79" s="1" t="n">
        <v>45589</v>
      </c>
      <c r="D79" t="inlineStr">
        <is>
          <t>BLEKINGE LÄN</t>
        </is>
      </c>
      <c r="E79" t="inlineStr">
        <is>
          <t>RONNEBY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34509-2019</t>
        </is>
      </c>
      <c r="B80" s="1" t="n">
        <v>43647</v>
      </c>
      <c r="C80" s="1" t="n">
        <v>45589</v>
      </c>
      <c r="D80" t="inlineStr">
        <is>
          <t>BLEKINGE LÄN</t>
        </is>
      </c>
      <c r="E80" t="inlineStr">
        <is>
          <t>RONNEBY</t>
        </is>
      </c>
      <c r="G80" t="n">
        <v>10.1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34534-2019</t>
        </is>
      </c>
      <c r="B81" s="1" t="n">
        <v>43647</v>
      </c>
      <c r="C81" s="1" t="n">
        <v>45589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34517-2019</t>
        </is>
      </c>
      <c r="B82" s="1" t="n">
        <v>43647</v>
      </c>
      <c r="C82" s="1" t="n">
        <v>45589</v>
      </c>
      <c r="D82" t="inlineStr">
        <is>
          <t>BLEKINGE LÄN</t>
        </is>
      </c>
      <c r="E82" t="inlineStr">
        <is>
          <t>RONNEBY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34523-2019</t>
        </is>
      </c>
      <c r="B83" s="1" t="n">
        <v>43647</v>
      </c>
      <c r="C83" s="1" t="n">
        <v>45589</v>
      </c>
      <c r="D83" t="inlineStr">
        <is>
          <t>BLEKINGE LÄN</t>
        </is>
      </c>
      <c r="E83" t="inlineStr">
        <is>
          <t>RONNEBY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32773-2019</t>
        </is>
      </c>
      <c r="B84" s="1" t="n">
        <v>43648</v>
      </c>
      <c r="C84" s="1" t="n">
        <v>45589</v>
      </c>
      <c r="D84" t="inlineStr">
        <is>
          <t>BLEKINGE LÄN</t>
        </is>
      </c>
      <c r="E84" t="inlineStr">
        <is>
          <t>RONNEBY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32781-2019</t>
        </is>
      </c>
      <c r="B85" s="1" t="n">
        <v>43648</v>
      </c>
      <c r="C85" s="1" t="n">
        <v>45589</v>
      </c>
      <c r="D85" t="inlineStr">
        <is>
          <t>BLEKINGE LÄN</t>
        </is>
      </c>
      <c r="E85" t="inlineStr">
        <is>
          <t>RONNEBY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34661-2019</t>
        </is>
      </c>
      <c r="B86" s="1" t="n">
        <v>43648</v>
      </c>
      <c r="C86" s="1" t="n">
        <v>45589</v>
      </c>
      <c r="D86" t="inlineStr">
        <is>
          <t>BLEKINGE LÄN</t>
        </is>
      </c>
      <c r="E86" t="inlineStr">
        <is>
          <t>RONNEBY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33269-2019</t>
        </is>
      </c>
      <c r="B87" s="1" t="n">
        <v>43650</v>
      </c>
      <c r="C87" s="1" t="n">
        <v>45589</v>
      </c>
      <c r="D87" t="inlineStr">
        <is>
          <t>BLEKINGE LÄN</t>
        </is>
      </c>
      <c r="E87" t="inlineStr">
        <is>
          <t>RONNEBY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34190-2019</t>
        </is>
      </c>
      <c r="B88" s="1" t="n">
        <v>43655</v>
      </c>
      <c r="C88" s="1" t="n">
        <v>45589</v>
      </c>
      <c r="D88" t="inlineStr">
        <is>
          <t>BLEKINGE LÄN</t>
        </is>
      </c>
      <c r="E88" t="inlineStr">
        <is>
          <t>RONNEBY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35227-2019</t>
        </is>
      </c>
      <c r="B89" s="1" t="n">
        <v>43662</v>
      </c>
      <c r="C89" s="1" t="n">
        <v>45589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35312-2019</t>
        </is>
      </c>
      <c r="B90" s="1" t="n">
        <v>43662</v>
      </c>
      <c r="C90" s="1" t="n">
        <v>45589</v>
      </c>
      <c r="D90" t="inlineStr">
        <is>
          <t>BLEKINGE LÄN</t>
        </is>
      </c>
      <c r="E90" t="inlineStr">
        <is>
          <t>RONNEBY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36638-2019</t>
        </is>
      </c>
      <c r="B91" s="1" t="n">
        <v>43669</v>
      </c>
      <c r="C91" s="1" t="n">
        <v>45589</v>
      </c>
      <c r="D91" t="inlineStr">
        <is>
          <t>BLEKINGE LÄN</t>
        </is>
      </c>
      <c r="E91" t="inlineStr">
        <is>
          <t>RONNEBY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36425-2019</t>
        </is>
      </c>
      <c r="B92" s="1" t="n">
        <v>43670</v>
      </c>
      <c r="C92" s="1" t="n">
        <v>45589</v>
      </c>
      <c r="D92" t="inlineStr">
        <is>
          <t>BLEKINGE LÄN</t>
        </is>
      </c>
      <c r="E92" t="inlineStr">
        <is>
          <t>RONNEBY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36300-2019</t>
        </is>
      </c>
      <c r="B93" s="1" t="n">
        <v>43670</v>
      </c>
      <c r="C93" s="1" t="n">
        <v>45589</v>
      </c>
      <c r="D93" t="inlineStr">
        <is>
          <t>BLEKINGE LÄN</t>
        </is>
      </c>
      <c r="E93" t="inlineStr">
        <is>
          <t>RONNEBY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37218-2019</t>
        </is>
      </c>
      <c r="B94" s="1" t="n">
        <v>43677</v>
      </c>
      <c r="C94" s="1" t="n">
        <v>45589</v>
      </c>
      <c r="D94" t="inlineStr">
        <is>
          <t>BLEKINGE LÄN</t>
        </is>
      </c>
      <c r="E94" t="inlineStr">
        <is>
          <t>RONNEBY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37204-2019</t>
        </is>
      </c>
      <c r="B95" s="1" t="n">
        <v>43677</v>
      </c>
      <c r="C95" s="1" t="n">
        <v>45589</v>
      </c>
      <c r="D95" t="inlineStr">
        <is>
          <t>BLEKINGE LÄN</t>
        </is>
      </c>
      <c r="E95" t="inlineStr">
        <is>
          <t>RONNEBY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37322-2019</t>
        </is>
      </c>
      <c r="B96" s="1" t="n">
        <v>43678</v>
      </c>
      <c r="C96" s="1" t="n">
        <v>45589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37323-2019</t>
        </is>
      </c>
      <c r="B97" s="1" t="n">
        <v>43678</v>
      </c>
      <c r="C97" s="1" t="n">
        <v>45589</v>
      </c>
      <c r="D97" t="inlineStr">
        <is>
          <t>BLEKINGE LÄN</t>
        </is>
      </c>
      <c r="E97" t="inlineStr">
        <is>
          <t>RONNEBY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37621-2019</t>
        </is>
      </c>
      <c r="B98" s="1" t="n">
        <v>43681</v>
      </c>
      <c r="C98" s="1" t="n">
        <v>45589</v>
      </c>
      <c r="D98" t="inlineStr">
        <is>
          <t>BLEKINGE LÄN</t>
        </is>
      </c>
      <c r="E98" t="inlineStr">
        <is>
          <t>RONNEBY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37873-2019</t>
        </is>
      </c>
      <c r="B99" s="1" t="n">
        <v>43682</v>
      </c>
      <c r="C99" s="1" t="n">
        <v>45589</v>
      </c>
      <c r="D99" t="inlineStr">
        <is>
          <t>BLEKINGE LÄN</t>
        </is>
      </c>
      <c r="E99" t="inlineStr">
        <is>
          <t>RONNEBY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37874-2019</t>
        </is>
      </c>
      <c r="B100" s="1" t="n">
        <v>43682</v>
      </c>
      <c r="C100" s="1" t="n">
        <v>45589</v>
      </c>
      <c r="D100" t="inlineStr">
        <is>
          <t>BLEKINGE LÄN</t>
        </is>
      </c>
      <c r="E100" t="inlineStr">
        <is>
          <t>RONNEBY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38153-2019</t>
        </is>
      </c>
      <c r="B101" s="1" t="n">
        <v>43684</v>
      </c>
      <c r="C101" s="1" t="n">
        <v>45589</v>
      </c>
      <c r="D101" t="inlineStr">
        <is>
          <t>BLEKINGE LÄN</t>
        </is>
      </c>
      <c r="E101" t="inlineStr">
        <is>
          <t>RONNEBY</t>
        </is>
      </c>
      <c r="F101" t="inlineStr">
        <is>
          <t>Kyrkan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38426-2019</t>
        </is>
      </c>
      <c r="B102" s="1" t="n">
        <v>43685</v>
      </c>
      <c r="C102" s="1" t="n">
        <v>45589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38554-2019</t>
        </is>
      </c>
      <c r="B103" s="1" t="n">
        <v>43685</v>
      </c>
      <c r="C103" s="1" t="n">
        <v>45589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38555-2019</t>
        </is>
      </c>
      <c r="B104" s="1" t="n">
        <v>43685</v>
      </c>
      <c r="C104" s="1" t="n">
        <v>45589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38547-2019</t>
        </is>
      </c>
      <c r="B105" s="1" t="n">
        <v>43685</v>
      </c>
      <c r="C105" s="1" t="n">
        <v>45589</v>
      </c>
      <c r="D105" t="inlineStr">
        <is>
          <t>BLEKINGE LÄN</t>
        </is>
      </c>
      <c r="E105" t="inlineStr">
        <is>
          <t>RONNEBY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39782-2019</t>
        </is>
      </c>
      <c r="B106" s="1" t="n">
        <v>43689</v>
      </c>
      <c r="C106" s="1" t="n">
        <v>45589</v>
      </c>
      <c r="D106" t="inlineStr">
        <is>
          <t>BLEKINGE LÄN</t>
        </is>
      </c>
      <c r="E106" t="inlineStr">
        <is>
          <t>RONNEBY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39350-2019</t>
        </is>
      </c>
      <c r="B107" s="1" t="n">
        <v>43690</v>
      </c>
      <c r="C107" s="1" t="n">
        <v>45589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39903-2019</t>
        </is>
      </c>
      <c r="B108" s="1" t="n">
        <v>43692</v>
      </c>
      <c r="C108" s="1" t="n">
        <v>45589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39967-2019</t>
        </is>
      </c>
      <c r="B109" s="1" t="n">
        <v>43692</v>
      </c>
      <c r="C109" s="1" t="n">
        <v>45589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39976-2019</t>
        </is>
      </c>
      <c r="B110" s="1" t="n">
        <v>43692</v>
      </c>
      <c r="C110" s="1" t="n">
        <v>45589</v>
      </c>
      <c r="D110" t="inlineStr">
        <is>
          <t>BLEKINGE LÄN</t>
        </is>
      </c>
      <c r="E110" t="inlineStr">
        <is>
          <t>RONNEBY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39972-2019</t>
        </is>
      </c>
      <c r="B111" s="1" t="n">
        <v>43692</v>
      </c>
      <c r="C111" s="1" t="n">
        <v>45589</v>
      </c>
      <c r="D111" t="inlineStr">
        <is>
          <t>BLEKINGE LÄN</t>
        </is>
      </c>
      <c r="E111" t="inlineStr">
        <is>
          <t>RONNEBY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40649-2019</t>
        </is>
      </c>
      <c r="B112" s="1" t="n">
        <v>43696</v>
      </c>
      <c r="C112" s="1" t="n">
        <v>45589</v>
      </c>
      <c r="D112" t="inlineStr">
        <is>
          <t>BLEKINGE LÄN</t>
        </is>
      </c>
      <c r="E112" t="inlineStr">
        <is>
          <t>RONNEBY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40840-2019</t>
        </is>
      </c>
      <c r="B113" s="1" t="n">
        <v>43697</v>
      </c>
      <c r="C113" s="1" t="n">
        <v>45589</v>
      </c>
      <c r="D113" t="inlineStr">
        <is>
          <t>BLEKINGE LÄN</t>
        </is>
      </c>
      <c r="E113" t="inlineStr">
        <is>
          <t>RONNEBY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41382-2019</t>
        </is>
      </c>
      <c r="B114" s="1" t="n">
        <v>43698</v>
      </c>
      <c r="C114" s="1" t="n">
        <v>45589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41387-2019</t>
        </is>
      </c>
      <c r="B115" s="1" t="n">
        <v>43698</v>
      </c>
      <c r="C115" s="1" t="n">
        <v>45589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41547-2019</t>
        </is>
      </c>
      <c r="B116" s="1" t="n">
        <v>43699</v>
      </c>
      <c r="C116" s="1" t="n">
        <v>45589</v>
      </c>
      <c r="D116" t="inlineStr">
        <is>
          <t>BLEKINGE LÄN</t>
        </is>
      </c>
      <c r="E116" t="inlineStr">
        <is>
          <t>RONNEBY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43167-2019</t>
        </is>
      </c>
      <c r="B117" s="1" t="n">
        <v>43705</v>
      </c>
      <c r="C117" s="1" t="n">
        <v>45589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42848-2019</t>
        </is>
      </c>
      <c r="B118" s="1" t="n">
        <v>43705</v>
      </c>
      <c r="C118" s="1" t="n">
        <v>45589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43521-2019</t>
        </is>
      </c>
      <c r="B119" s="1" t="n">
        <v>43706</v>
      </c>
      <c r="C119" s="1" t="n">
        <v>45589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43735-2019</t>
        </is>
      </c>
      <c r="B120" s="1" t="n">
        <v>43707</v>
      </c>
      <c r="C120" s="1" t="n">
        <v>45589</v>
      </c>
      <c r="D120" t="inlineStr">
        <is>
          <t>BLEKINGE LÄN</t>
        </is>
      </c>
      <c r="E120" t="inlineStr">
        <is>
          <t>RONNEBY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43739-2019</t>
        </is>
      </c>
      <c r="B121" s="1" t="n">
        <v>43707</v>
      </c>
      <c r="C121" s="1" t="n">
        <v>45589</v>
      </c>
      <c r="D121" t="inlineStr">
        <is>
          <t>BLEKINGE LÄN</t>
        </is>
      </c>
      <c r="E121" t="inlineStr">
        <is>
          <t>RONNEBY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44298-2019</t>
        </is>
      </c>
      <c r="B122" s="1" t="n">
        <v>43710</v>
      </c>
      <c r="C122" s="1" t="n">
        <v>45589</v>
      </c>
      <c r="D122" t="inlineStr">
        <is>
          <t>BLEKINGE LÄN</t>
        </is>
      </c>
      <c r="E122" t="inlineStr">
        <is>
          <t>RONNEBY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44301-2019</t>
        </is>
      </c>
      <c r="B123" s="1" t="n">
        <v>43710</v>
      </c>
      <c r="C123" s="1" t="n">
        <v>45589</v>
      </c>
      <c r="D123" t="inlineStr">
        <is>
          <t>BLEKINGE LÄN</t>
        </is>
      </c>
      <c r="E123" t="inlineStr">
        <is>
          <t>RONNEBY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44507-2019</t>
        </is>
      </c>
      <c r="B124" s="1" t="n">
        <v>43711</v>
      </c>
      <c r="C124" s="1" t="n">
        <v>45589</v>
      </c>
      <c r="D124" t="inlineStr">
        <is>
          <t>BLEKINGE LÄN</t>
        </is>
      </c>
      <c r="E124" t="inlineStr">
        <is>
          <t>RONNEBY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44558-2019</t>
        </is>
      </c>
      <c r="B125" s="1" t="n">
        <v>43711</v>
      </c>
      <c r="C125" s="1" t="n">
        <v>45589</v>
      </c>
      <c r="D125" t="inlineStr">
        <is>
          <t>BLEKINGE LÄN</t>
        </is>
      </c>
      <c r="E125" t="inlineStr">
        <is>
          <t>RONNEBY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44556-2019</t>
        </is>
      </c>
      <c r="B126" s="1" t="n">
        <v>43711</v>
      </c>
      <c r="C126" s="1" t="n">
        <v>45589</v>
      </c>
      <c r="D126" t="inlineStr">
        <is>
          <t>BLEKINGE LÄN</t>
        </is>
      </c>
      <c r="E126" t="inlineStr">
        <is>
          <t>RONNEBY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44872-2019</t>
        </is>
      </c>
      <c r="B127" s="1" t="n">
        <v>43712</v>
      </c>
      <c r="C127" s="1" t="n">
        <v>45589</v>
      </c>
      <c r="D127" t="inlineStr">
        <is>
          <t>BLEKINGE LÄN</t>
        </is>
      </c>
      <c r="E127" t="inlineStr">
        <is>
          <t>RONNEBY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45871-2019</t>
        </is>
      </c>
      <c r="B128" s="1" t="n">
        <v>43712</v>
      </c>
      <c r="C128" s="1" t="n">
        <v>45589</v>
      </c>
      <c r="D128" t="inlineStr">
        <is>
          <t>BLEKINGE LÄN</t>
        </is>
      </c>
      <c r="E128" t="inlineStr">
        <is>
          <t>RONNEBY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45644-2019</t>
        </is>
      </c>
      <c r="B129" s="1" t="n">
        <v>43717</v>
      </c>
      <c r="C129" s="1" t="n">
        <v>45589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46319-2019</t>
        </is>
      </c>
      <c r="B130" s="1" t="n">
        <v>43718</v>
      </c>
      <c r="C130" s="1" t="n">
        <v>45589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47057-2019</t>
        </is>
      </c>
      <c r="B131" s="1" t="n">
        <v>43720</v>
      </c>
      <c r="C131" s="1" t="n">
        <v>45589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47993-2019</t>
        </is>
      </c>
      <c r="B132" s="1" t="n">
        <v>43725</v>
      </c>
      <c r="C132" s="1" t="n">
        <v>45589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48113-2019</t>
        </is>
      </c>
      <c r="B133" s="1" t="n">
        <v>43725</v>
      </c>
      <c r="C133" s="1" t="n">
        <v>45589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47992-2019</t>
        </is>
      </c>
      <c r="B134" s="1" t="n">
        <v>43725</v>
      </c>
      <c r="C134" s="1" t="n">
        <v>45589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48111-2019</t>
        </is>
      </c>
      <c r="B135" s="1" t="n">
        <v>43725</v>
      </c>
      <c r="C135" s="1" t="n">
        <v>45589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48239-2019</t>
        </is>
      </c>
      <c r="B136" s="1" t="n">
        <v>43726</v>
      </c>
      <c r="C136" s="1" t="n">
        <v>45589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48313-2019</t>
        </is>
      </c>
      <c r="B137" s="1" t="n">
        <v>43726</v>
      </c>
      <c r="C137" s="1" t="n">
        <v>45589</v>
      </c>
      <c r="D137" t="inlineStr">
        <is>
          <t>BLEKINGE LÄN</t>
        </is>
      </c>
      <c r="E137" t="inlineStr">
        <is>
          <t>RONNEBY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48400-2019</t>
        </is>
      </c>
      <c r="B138" s="1" t="n">
        <v>43727</v>
      </c>
      <c r="C138" s="1" t="n">
        <v>45589</v>
      </c>
      <c r="D138" t="inlineStr">
        <is>
          <t>BLEKINGE LÄN</t>
        </is>
      </c>
      <c r="E138" t="inlineStr">
        <is>
          <t>RONNEBY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48401-2019</t>
        </is>
      </c>
      <c r="B139" s="1" t="n">
        <v>43727</v>
      </c>
      <c r="C139" s="1" t="n">
        <v>45589</v>
      </c>
      <c r="D139" t="inlineStr">
        <is>
          <t>BLEKINGE LÄN</t>
        </is>
      </c>
      <c r="E139" t="inlineStr">
        <is>
          <t>RONNEBY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48994-2019</t>
        </is>
      </c>
      <c r="B140" s="1" t="n">
        <v>43730</v>
      </c>
      <c r="C140" s="1" t="n">
        <v>45589</v>
      </c>
      <c r="D140" t="inlineStr">
        <is>
          <t>BLEKINGE LÄN</t>
        </is>
      </c>
      <c r="E140" t="inlineStr">
        <is>
          <t>RONNEBY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49827-2019</t>
        </is>
      </c>
      <c r="B141" s="1" t="n">
        <v>43733</v>
      </c>
      <c r="C141" s="1" t="n">
        <v>45589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51935-2019</t>
        </is>
      </c>
      <c r="B142" s="1" t="n">
        <v>43741</v>
      </c>
      <c r="C142" s="1" t="n">
        <v>45589</v>
      </c>
      <c r="D142" t="inlineStr">
        <is>
          <t>BLEKINGE LÄN</t>
        </is>
      </c>
      <c r="E142" t="inlineStr">
        <is>
          <t>RONNEBY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51941-2019</t>
        </is>
      </c>
      <c r="B143" s="1" t="n">
        <v>43741</v>
      </c>
      <c r="C143" s="1" t="n">
        <v>45589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52249-2019</t>
        </is>
      </c>
      <c r="B144" s="1" t="n">
        <v>43742</v>
      </c>
      <c r="C144" s="1" t="n">
        <v>45589</v>
      </c>
      <c r="D144" t="inlineStr">
        <is>
          <t>BLEKINGE LÄN</t>
        </is>
      </c>
      <c r="E144" t="inlineStr">
        <is>
          <t>RONNEBY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52413-2019</t>
        </is>
      </c>
      <c r="B145" s="1" t="n">
        <v>43745</v>
      </c>
      <c r="C145" s="1" t="n">
        <v>45589</v>
      </c>
      <c r="D145" t="inlineStr">
        <is>
          <t>BLEKINGE LÄN</t>
        </is>
      </c>
      <c r="E145" t="inlineStr">
        <is>
          <t>RONNEBY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52685-2019</t>
        </is>
      </c>
      <c r="B146" s="1" t="n">
        <v>43746</v>
      </c>
      <c r="C146" s="1" t="n">
        <v>45589</v>
      </c>
      <c r="D146" t="inlineStr">
        <is>
          <t>BLEKINGE LÄN</t>
        </is>
      </c>
      <c r="E146" t="inlineStr">
        <is>
          <t>RONNEBY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52789-2019</t>
        </is>
      </c>
      <c r="B147" s="1" t="n">
        <v>43746</v>
      </c>
      <c r="C147" s="1" t="n">
        <v>45589</v>
      </c>
      <c r="D147" t="inlineStr">
        <is>
          <t>BLEKINGE LÄN</t>
        </is>
      </c>
      <c r="E147" t="inlineStr">
        <is>
          <t>RONNEBY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53455-2019</t>
        </is>
      </c>
      <c r="B148" s="1" t="n">
        <v>43748</v>
      </c>
      <c r="C148" s="1" t="n">
        <v>45589</v>
      </c>
      <c r="D148" t="inlineStr">
        <is>
          <t>BLEKINGE LÄN</t>
        </is>
      </c>
      <c r="E148" t="inlineStr">
        <is>
          <t>RONNEBY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54813-2019</t>
        </is>
      </c>
      <c r="B149" s="1" t="n">
        <v>43749</v>
      </c>
      <c r="C149" s="1" t="n">
        <v>45589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53709-2019</t>
        </is>
      </c>
      <c r="B150" s="1" t="n">
        <v>43749</v>
      </c>
      <c r="C150" s="1" t="n">
        <v>45589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55099-2019</t>
        </is>
      </c>
      <c r="B151" s="1" t="n">
        <v>43752</v>
      </c>
      <c r="C151" s="1" t="n">
        <v>45589</v>
      </c>
      <c r="D151" t="inlineStr">
        <is>
          <t>BLEKINGE LÄN</t>
        </is>
      </c>
      <c r="E151" t="inlineStr">
        <is>
          <t>RONNEBY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54454-2019</t>
        </is>
      </c>
      <c r="B152" s="1" t="n">
        <v>43754</v>
      </c>
      <c r="C152" s="1" t="n">
        <v>45589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55002-2019</t>
        </is>
      </c>
      <c r="B153" s="1" t="n">
        <v>43755</v>
      </c>
      <c r="C153" s="1" t="n">
        <v>45589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54994-2019</t>
        </is>
      </c>
      <c r="B154" s="1" t="n">
        <v>43755</v>
      </c>
      <c r="C154" s="1" t="n">
        <v>45589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56147-2019</t>
        </is>
      </c>
      <c r="B155" s="1" t="n">
        <v>43761</v>
      </c>
      <c r="C155" s="1" t="n">
        <v>45589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56167-2019</t>
        </is>
      </c>
      <c r="B156" s="1" t="n">
        <v>43761</v>
      </c>
      <c r="C156" s="1" t="n">
        <v>45589</v>
      </c>
      <c r="D156" t="inlineStr">
        <is>
          <t>BLEKINGE LÄN</t>
        </is>
      </c>
      <c r="E156" t="inlineStr">
        <is>
          <t>RONNEBY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56646-2019</t>
        </is>
      </c>
      <c r="B157" s="1" t="n">
        <v>43763</v>
      </c>
      <c r="C157" s="1" t="n">
        <v>45589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56878-2019</t>
        </is>
      </c>
      <c r="B158" s="1" t="n">
        <v>43766</v>
      </c>
      <c r="C158" s="1" t="n">
        <v>45589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56880-2019</t>
        </is>
      </c>
      <c r="B159" s="1" t="n">
        <v>43766</v>
      </c>
      <c r="C159" s="1" t="n">
        <v>45589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57543-2019</t>
        </is>
      </c>
      <c r="B160" s="1" t="n">
        <v>43767</v>
      </c>
      <c r="C160" s="1" t="n">
        <v>45589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57542-2019</t>
        </is>
      </c>
      <c r="B161" s="1" t="n">
        <v>43767</v>
      </c>
      <c r="C161" s="1" t="n">
        <v>45589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57750-2019</t>
        </is>
      </c>
      <c r="B162" s="1" t="n">
        <v>43768</v>
      </c>
      <c r="C162" s="1" t="n">
        <v>45589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58220-2019</t>
        </is>
      </c>
      <c r="B163" s="1" t="n">
        <v>43770</v>
      </c>
      <c r="C163" s="1" t="n">
        <v>45589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60527-2019</t>
        </is>
      </c>
      <c r="B164" s="1" t="n">
        <v>43781</v>
      </c>
      <c r="C164" s="1" t="n">
        <v>45589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60724-2019</t>
        </is>
      </c>
      <c r="B165" s="1" t="n">
        <v>43781</v>
      </c>
      <c r="C165" s="1" t="n">
        <v>45589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60745-2019</t>
        </is>
      </c>
      <c r="B166" s="1" t="n">
        <v>43781</v>
      </c>
      <c r="C166" s="1" t="n">
        <v>45589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60723-2019</t>
        </is>
      </c>
      <c r="B167" s="1" t="n">
        <v>43781</v>
      </c>
      <c r="C167" s="1" t="n">
        <v>45589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61271-2019</t>
        </is>
      </c>
      <c r="B168" s="1" t="n">
        <v>43783</v>
      </c>
      <c r="C168" s="1" t="n">
        <v>45589</v>
      </c>
      <c r="D168" t="inlineStr">
        <is>
          <t>BLEKINGE LÄN</t>
        </is>
      </c>
      <c r="E168" t="inlineStr">
        <is>
          <t>RONNEBY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61506-2019</t>
        </is>
      </c>
      <c r="B169" s="1" t="n">
        <v>43783</v>
      </c>
      <c r="C169" s="1" t="n">
        <v>45589</v>
      </c>
      <c r="D169" t="inlineStr">
        <is>
          <t>BLEKINGE LÄN</t>
        </is>
      </c>
      <c r="E169" t="inlineStr">
        <is>
          <t>RONNEBY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61883-2019</t>
        </is>
      </c>
      <c r="B170" s="1" t="n">
        <v>43787</v>
      </c>
      <c r="C170" s="1" t="n">
        <v>45589</v>
      </c>
      <c r="D170" t="inlineStr">
        <is>
          <t>BLEKINGE LÄN</t>
        </is>
      </c>
      <c r="E170" t="inlineStr">
        <is>
          <t>RONNEBY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63003-2019</t>
        </is>
      </c>
      <c r="B171" s="1" t="n">
        <v>43790</v>
      </c>
      <c r="C171" s="1" t="n">
        <v>45589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66495-2019</t>
        </is>
      </c>
      <c r="B172" s="1" t="n">
        <v>43803</v>
      </c>
      <c r="C172" s="1" t="n">
        <v>45589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65408-2019</t>
        </is>
      </c>
      <c r="B173" s="1" t="n">
        <v>43803</v>
      </c>
      <c r="C173" s="1" t="n">
        <v>45589</v>
      </c>
      <c r="D173" t="inlineStr">
        <is>
          <t>BLEKINGE LÄN</t>
        </is>
      </c>
      <c r="E173" t="inlineStr">
        <is>
          <t>RONNEBY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65716-2019</t>
        </is>
      </c>
      <c r="B174" s="1" t="n">
        <v>43804</v>
      </c>
      <c r="C174" s="1" t="n">
        <v>45589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66143-2019</t>
        </is>
      </c>
      <c r="B175" s="1" t="n">
        <v>43808</v>
      </c>
      <c r="C175" s="1" t="n">
        <v>45589</v>
      </c>
      <c r="D175" t="inlineStr">
        <is>
          <t>BLEKINGE LÄN</t>
        </is>
      </c>
      <c r="E175" t="inlineStr">
        <is>
          <t>RONNEBY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67192-2019</t>
        </is>
      </c>
      <c r="B176" s="1" t="n">
        <v>43811</v>
      </c>
      <c r="C176" s="1" t="n">
        <v>45589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67189-2019</t>
        </is>
      </c>
      <c r="B177" s="1" t="n">
        <v>43811</v>
      </c>
      <c r="C177" s="1" t="n">
        <v>45589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67191-2019</t>
        </is>
      </c>
      <c r="B178" s="1" t="n">
        <v>43811</v>
      </c>
      <c r="C178" s="1" t="n">
        <v>45589</v>
      </c>
      <c r="D178" t="inlineStr">
        <is>
          <t>BLEKINGE LÄN</t>
        </is>
      </c>
      <c r="E178" t="inlineStr">
        <is>
          <t>RONNEBY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68113-2019</t>
        </is>
      </c>
      <c r="B179" s="1" t="n">
        <v>43817</v>
      </c>
      <c r="C179" s="1" t="n">
        <v>45589</v>
      </c>
      <c r="D179" t="inlineStr">
        <is>
          <t>BLEKINGE LÄN</t>
        </is>
      </c>
      <c r="E179" t="inlineStr">
        <is>
          <t>RONNEBY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68198-2019</t>
        </is>
      </c>
      <c r="B180" s="1" t="n">
        <v>43817</v>
      </c>
      <c r="C180" s="1" t="n">
        <v>45589</v>
      </c>
      <c r="D180" t="inlineStr">
        <is>
          <t>BLEKINGE LÄN</t>
        </is>
      </c>
      <c r="E180" t="inlineStr">
        <is>
          <t>RONNEBY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68114-2019</t>
        </is>
      </c>
      <c r="B181" s="1" t="n">
        <v>43817</v>
      </c>
      <c r="C181" s="1" t="n">
        <v>45589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68454-2019</t>
        </is>
      </c>
      <c r="B182" s="1" t="n">
        <v>43818</v>
      </c>
      <c r="C182" s="1" t="n">
        <v>45589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68943-2019</t>
        </is>
      </c>
      <c r="B183" s="1" t="n">
        <v>43822</v>
      </c>
      <c r="C183" s="1" t="n">
        <v>45589</v>
      </c>
      <c r="D183" t="inlineStr">
        <is>
          <t>BLEKINGE LÄN</t>
        </is>
      </c>
      <c r="E183" t="inlineStr">
        <is>
          <t>RONNEBY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68947-2019</t>
        </is>
      </c>
      <c r="B184" s="1" t="n">
        <v>43822</v>
      </c>
      <c r="C184" s="1" t="n">
        <v>45589</v>
      </c>
      <c r="D184" t="inlineStr">
        <is>
          <t>BLEKINGE LÄN</t>
        </is>
      </c>
      <c r="E184" t="inlineStr">
        <is>
          <t>RONNEBY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33-2020</t>
        </is>
      </c>
      <c r="B185" s="1" t="n">
        <v>43832</v>
      </c>
      <c r="C185" s="1" t="n">
        <v>45589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194-2020</t>
        </is>
      </c>
      <c r="B186" s="1" t="n">
        <v>43833</v>
      </c>
      <c r="C186" s="1" t="n">
        <v>45589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367-2020</t>
        </is>
      </c>
      <c r="B187" s="1" t="n">
        <v>43837</v>
      </c>
      <c r="C187" s="1" t="n">
        <v>45589</v>
      </c>
      <c r="D187" t="inlineStr">
        <is>
          <t>BLEKINGE LÄN</t>
        </is>
      </c>
      <c r="E187" t="inlineStr">
        <is>
          <t>RONNEBY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420-2020</t>
        </is>
      </c>
      <c r="B188" s="1" t="n">
        <v>43837</v>
      </c>
      <c r="C188" s="1" t="n">
        <v>45589</v>
      </c>
      <c r="D188" t="inlineStr">
        <is>
          <t>BLEKINGE LÄN</t>
        </is>
      </c>
      <c r="E188" t="inlineStr">
        <is>
          <t>RONNEBY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780-2020</t>
        </is>
      </c>
      <c r="B189" s="1" t="n">
        <v>43838</v>
      </c>
      <c r="C189" s="1" t="n">
        <v>45589</v>
      </c>
      <c r="D189" t="inlineStr">
        <is>
          <t>BLEKINGE LÄN</t>
        </is>
      </c>
      <c r="E189" t="inlineStr">
        <is>
          <t>RONNEBY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2453-2020</t>
        </is>
      </c>
      <c r="B190" s="1" t="n">
        <v>43847</v>
      </c>
      <c r="C190" s="1" t="n">
        <v>45589</v>
      </c>
      <c r="D190" t="inlineStr">
        <is>
          <t>BLEKINGE LÄN</t>
        </is>
      </c>
      <c r="E190" t="inlineStr">
        <is>
          <t>RONNEBY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2982-2020</t>
        </is>
      </c>
      <c r="B191" s="1" t="n">
        <v>43850</v>
      </c>
      <c r="C191" s="1" t="n">
        <v>45589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3551-2020</t>
        </is>
      </c>
      <c r="B192" s="1" t="n">
        <v>43852</v>
      </c>
      <c r="C192" s="1" t="n">
        <v>45589</v>
      </c>
      <c r="D192" t="inlineStr">
        <is>
          <t>BLEKINGE LÄN</t>
        </is>
      </c>
      <c r="E192" t="inlineStr">
        <is>
          <t>RONNEBY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3469-2020</t>
        </is>
      </c>
      <c r="B193" s="1" t="n">
        <v>43852</v>
      </c>
      <c r="C193" s="1" t="n">
        <v>45589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3698-2020</t>
        </is>
      </c>
      <c r="B194" s="1" t="n">
        <v>43853</v>
      </c>
      <c r="C194" s="1" t="n">
        <v>45589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3727-2020</t>
        </is>
      </c>
      <c r="B195" s="1" t="n">
        <v>43853</v>
      </c>
      <c r="C195" s="1" t="n">
        <v>45589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3768-2020</t>
        </is>
      </c>
      <c r="B196" s="1" t="n">
        <v>43854</v>
      </c>
      <c r="C196" s="1" t="n">
        <v>45589</v>
      </c>
      <c r="D196" t="inlineStr">
        <is>
          <t>BLEKINGE LÄN</t>
        </is>
      </c>
      <c r="E196" t="inlineStr">
        <is>
          <t>RONNEBY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3764-2020</t>
        </is>
      </c>
      <c r="B197" s="1" t="n">
        <v>43854</v>
      </c>
      <c r="C197" s="1" t="n">
        <v>45589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5479-2020</t>
        </is>
      </c>
      <c r="B198" s="1" t="n">
        <v>43858</v>
      </c>
      <c r="C198" s="1" t="n">
        <v>45589</v>
      </c>
      <c r="D198" t="inlineStr">
        <is>
          <t>BLEKINGE LÄN</t>
        </is>
      </c>
      <c r="E198" t="inlineStr">
        <is>
          <t>RONNEBY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5393-2020</t>
        </is>
      </c>
      <c r="B199" s="1" t="n">
        <v>43860</v>
      </c>
      <c r="C199" s="1" t="n">
        <v>45589</v>
      </c>
      <c r="D199" t="inlineStr">
        <is>
          <t>BLEKINGE LÄN</t>
        </is>
      </c>
      <c r="E199" t="inlineStr">
        <is>
          <t>RONNEBY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8160-2020</t>
        </is>
      </c>
      <c r="B200" s="1" t="n">
        <v>43874</v>
      </c>
      <c r="C200" s="1" t="n">
        <v>45589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8930-2020</t>
        </is>
      </c>
      <c r="B201" s="1" t="n">
        <v>43878</v>
      </c>
      <c r="C201" s="1" t="n">
        <v>45589</v>
      </c>
      <c r="D201" t="inlineStr">
        <is>
          <t>BLEKINGE LÄN</t>
        </is>
      </c>
      <c r="E201" t="inlineStr">
        <is>
          <t>RONNEBY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8931-2020</t>
        </is>
      </c>
      <c r="B202" s="1" t="n">
        <v>43878</v>
      </c>
      <c r="C202" s="1" t="n">
        <v>45589</v>
      </c>
      <c r="D202" t="inlineStr">
        <is>
          <t>BLEKINGE LÄN</t>
        </is>
      </c>
      <c r="E202" t="inlineStr">
        <is>
          <t>RONNEBY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9343-2020</t>
        </is>
      </c>
      <c r="B203" s="1" t="n">
        <v>43880</v>
      </c>
      <c r="C203" s="1" t="n">
        <v>45589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9668-2020</t>
        </is>
      </c>
      <c r="B204" s="1" t="n">
        <v>43881</v>
      </c>
      <c r="C204" s="1" t="n">
        <v>45589</v>
      </c>
      <c r="D204" t="inlineStr">
        <is>
          <t>BLEKINGE LÄN</t>
        </is>
      </c>
      <c r="E204" t="inlineStr">
        <is>
          <t>RONNEBY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11122-2020</t>
        </is>
      </c>
      <c r="B205" s="1" t="n">
        <v>43889</v>
      </c>
      <c r="C205" s="1" t="n">
        <v>45589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12070-2020</t>
        </is>
      </c>
      <c r="B206" s="1" t="n">
        <v>43895</v>
      </c>
      <c r="C206" s="1" t="n">
        <v>45589</v>
      </c>
      <c r="D206" t="inlineStr">
        <is>
          <t>BLEKINGE LÄN</t>
        </is>
      </c>
      <c r="E206" t="inlineStr">
        <is>
          <t>RONNEBY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13726-2020</t>
        </is>
      </c>
      <c r="B207" s="1" t="n">
        <v>43903</v>
      </c>
      <c r="C207" s="1" t="n">
        <v>45589</v>
      </c>
      <c r="D207" t="inlineStr">
        <is>
          <t>BLEKINGE LÄN</t>
        </is>
      </c>
      <c r="E207" t="inlineStr">
        <is>
          <t>RONNEBY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13841-2020</t>
        </is>
      </c>
      <c r="B208" s="1" t="n">
        <v>43906</v>
      </c>
      <c r="C208" s="1" t="n">
        <v>45589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14848-2020</t>
        </is>
      </c>
      <c r="B209" s="1" t="n">
        <v>43909</v>
      </c>
      <c r="C209" s="1" t="n">
        <v>45589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15580-2020</t>
        </is>
      </c>
      <c r="B210" s="1" t="n">
        <v>43914</v>
      </c>
      <c r="C210" s="1" t="n">
        <v>45589</v>
      </c>
      <c r="D210" t="inlineStr">
        <is>
          <t>BLEKINGE LÄN</t>
        </is>
      </c>
      <c r="E210" t="inlineStr">
        <is>
          <t>RONNEBY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15582-2020</t>
        </is>
      </c>
      <c r="B211" s="1" t="n">
        <v>43914</v>
      </c>
      <c r="C211" s="1" t="n">
        <v>45589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15963-2020</t>
        </is>
      </c>
      <c r="B212" s="1" t="n">
        <v>43915</v>
      </c>
      <c r="C212" s="1" t="n">
        <v>45589</v>
      </c>
      <c r="D212" t="inlineStr">
        <is>
          <t>BLEKINGE LÄN</t>
        </is>
      </c>
      <c r="E212" t="inlineStr">
        <is>
          <t>RONNEBY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18495-2020</t>
        </is>
      </c>
      <c r="B213" s="1" t="n">
        <v>43929</v>
      </c>
      <c r="C213" s="1" t="n">
        <v>45589</v>
      </c>
      <c r="D213" t="inlineStr">
        <is>
          <t>BLEKINGE LÄN</t>
        </is>
      </c>
      <c r="E213" t="inlineStr">
        <is>
          <t>RONNEBY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18777-2020</t>
        </is>
      </c>
      <c r="B214" s="1" t="n">
        <v>43930</v>
      </c>
      <c r="C214" s="1" t="n">
        <v>45589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19402-2020</t>
        </is>
      </c>
      <c r="B215" s="1" t="n">
        <v>43938</v>
      </c>
      <c r="C215" s="1" t="n">
        <v>45589</v>
      </c>
      <c r="D215" t="inlineStr">
        <is>
          <t>BLEKINGE LÄN</t>
        </is>
      </c>
      <c r="E215" t="inlineStr">
        <is>
          <t>RONNEBY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20963-2020</t>
        </is>
      </c>
      <c r="B216" s="1" t="n">
        <v>43950</v>
      </c>
      <c r="C216" s="1" t="n">
        <v>45589</v>
      </c>
      <c r="D216" t="inlineStr">
        <is>
          <t>BLEKINGE LÄN</t>
        </is>
      </c>
      <c r="E216" t="inlineStr">
        <is>
          <t>RONNEBY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22680-2020</t>
        </is>
      </c>
      <c r="B217" s="1" t="n">
        <v>43963</v>
      </c>
      <c r="C217" s="1" t="n">
        <v>45589</v>
      </c>
      <c r="D217" t="inlineStr">
        <is>
          <t>BLEKINGE LÄN</t>
        </is>
      </c>
      <c r="E217" t="inlineStr">
        <is>
          <t>RONNEBY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23481-2020</t>
        </is>
      </c>
      <c r="B218" s="1" t="n">
        <v>43969</v>
      </c>
      <c r="C218" s="1" t="n">
        <v>45589</v>
      </c>
      <c r="D218" t="inlineStr">
        <is>
          <t>BLEKINGE LÄN</t>
        </is>
      </c>
      <c r="E218" t="inlineStr">
        <is>
          <t>RONNEBY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24949-2020</t>
        </is>
      </c>
      <c r="B219" s="1" t="n">
        <v>43979</v>
      </c>
      <c r="C219" s="1" t="n">
        <v>45589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25693-2020</t>
        </is>
      </c>
      <c r="B220" s="1" t="n">
        <v>43984</v>
      </c>
      <c r="C220" s="1" t="n">
        <v>45589</v>
      </c>
      <c r="D220" t="inlineStr">
        <is>
          <t>BLEKINGE LÄN</t>
        </is>
      </c>
      <c r="E220" t="inlineStr">
        <is>
          <t>RONNEBY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27396-2020</t>
        </is>
      </c>
      <c r="B221" s="1" t="n">
        <v>43992</v>
      </c>
      <c r="C221" s="1" t="n">
        <v>45589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27397-2020</t>
        </is>
      </c>
      <c r="B222" s="1" t="n">
        <v>43992</v>
      </c>
      <c r="C222" s="1" t="n">
        <v>45589</v>
      </c>
      <c r="D222" t="inlineStr">
        <is>
          <t>BLEKINGE LÄN</t>
        </is>
      </c>
      <c r="E222" t="inlineStr">
        <is>
          <t>RONNEBY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27317-2020</t>
        </is>
      </c>
      <c r="B223" s="1" t="n">
        <v>43992</v>
      </c>
      <c r="C223" s="1" t="n">
        <v>45589</v>
      </c>
      <c r="D223" t="inlineStr">
        <is>
          <t>BLEKINGE LÄN</t>
        </is>
      </c>
      <c r="E223" t="inlineStr">
        <is>
          <t>RONNEBY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29160-2020</t>
        </is>
      </c>
      <c r="B224" s="1" t="n">
        <v>44004</v>
      </c>
      <c r="C224" s="1" t="n">
        <v>45589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29658-2020</t>
        </is>
      </c>
      <c r="B225" s="1" t="n">
        <v>44005</v>
      </c>
      <c r="C225" s="1" t="n">
        <v>45589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29894-2020</t>
        </is>
      </c>
      <c r="B226" s="1" t="n">
        <v>44005</v>
      </c>
      <c r="C226" s="1" t="n">
        <v>45589</v>
      </c>
      <c r="D226" t="inlineStr">
        <is>
          <t>BLEKINGE LÄN</t>
        </is>
      </c>
      <c r="E226" t="inlineStr">
        <is>
          <t>RONNEBY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30188-2020</t>
        </is>
      </c>
      <c r="B227" s="1" t="n">
        <v>44007</v>
      </c>
      <c r="C227" s="1" t="n">
        <v>45589</v>
      </c>
      <c r="D227" t="inlineStr">
        <is>
          <t>BLEKINGE LÄN</t>
        </is>
      </c>
      <c r="E227" t="inlineStr">
        <is>
          <t>RONNEBY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32690-2020</t>
        </is>
      </c>
      <c r="B228" s="1" t="n">
        <v>44019</v>
      </c>
      <c r="C228" s="1" t="n">
        <v>45589</v>
      </c>
      <c r="D228" t="inlineStr">
        <is>
          <t>BLEKINGE LÄN</t>
        </is>
      </c>
      <c r="E228" t="inlineStr">
        <is>
          <t>RONNEBY</t>
        </is>
      </c>
      <c r="G228" t="n">
        <v>43.9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33523-2020</t>
        </is>
      </c>
      <c r="B229" s="1" t="n">
        <v>44025</v>
      </c>
      <c r="C229" s="1" t="n">
        <v>45589</v>
      </c>
      <c r="D229" t="inlineStr">
        <is>
          <t>BLEKINGE LÄN</t>
        </is>
      </c>
      <c r="E229" t="inlineStr">
        <is>
          <t>RONNEBY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33577-2020</t>
        </is>
      </c>
      <c r="B230" s="1" t="n">
        <v>44025</v>
      </c>
      <c r="C230" s="1" t="n">
        <v>45589</v>
      </c>
      <c r="D230" t="inlineStr">
        <is>
          <t>BLEKINGE LÄN</t>
        </is>
      </c>
      <c r="E230" t="inlineStr">
        <is>
          <t>RONNEBY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34051-2020</t>
        </is>
      </c>
      <c r="B231" s="1" t="n">
        <v>44027</v>
      </c>
      <c r="C231" s="1" t="n">
        <v>45589</v>
      </c>
      <c r="D231" t="inlineStr">
        <is>
          <t>BLEKINGE LÄN</t>
        </is>
      </c>
      <c r="E231" t="inlineStr">
        <is>
          <t>RONNEBY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34058-2020</t>
        </is>
      </c>
      <c r="B232" s="1" t="n">
        <v>44027</v>
      </c>
      <c r="C232" s="1" t="n">
        <v>45589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34059-2020</t>
        </is>
      </c>
      <c r="B233" s="1" t="n">
        <v>44027</v>
      </c>
      <c r="C233" s="1" t="n">
        <v>45589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34046-2020</t>
        </is>
      </c>
      <c r="B234" s="1" t="n">
        <v>44027</v>
      </c>
      <c r="C234" s="1" t="n">
        <v>45589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34451-2020</t>
        </is>
      </c>
      <c r="B235" s="1" t="n">
        <v>44029</v>
      </c>
      <c r="C235" s="1" t="n">
        <v>45589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34353-2020</t>
        </is>
      </c>
      <c r="B236" s="1" t="n">
        <v>44032</v>
      </c>
      <c r="C236" s="1" t="n">
        <v>45589</v>
      </c>
      <c r="D236" t="inlineStr">
        <is>
          <t>BLEKINGE LÄN</t>
        </is>
      </c>
      <c r="E236" t="inlineStr">
        <is>
          <t>RONNEBY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34547-2020</t>
        </is>
      </c>
      <c r="B237" s="1" t="n">
        <v>44032</v>
      </c>
      <c r="C237" s="1" t="n">
        <v>45589</v>
      </c>
      <c r="D237" t="inlineStr">
        <is>
          <t>BLEKINGE LÄN</t>
        </is>
      </c>
      <c r="E237" t="inlineStr">
        <is>
          <t>RONNEBY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34383-2020</t>
        </is>
      </c>
      <c r="B238" s="1" t="n">
        <v>44032</v>
      </c>
      <c r="C238" s="1" t="n">
        <v>45589</v>
      </c>
      <c r="D238" t="inlineStr">
        <is>
          <t>BLEKINGE LÄN</t>
        </is>
      </c>
      <c r="E238" t="inlineStr">
        <is>
          <t>RONNEBY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34712-2020</t>
        </is>
      </c>
      <c r="B239" s="1" t="n">
        <v>44035</v>
      </c>
      <c r="C239" s="1" t="n">
        <v>45589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35846-2020</t>
        </is>
      </c>
      <c r="B240" s="1" t="n">
        <v>44047</v>
      </c>
      <c r="C240" s="1" t="n">
        <v>45589</v>
      </c>
      <c r="D240" t="inlineStr">
        <is>
          <t>BLEKINGE LÄN</t>
        </is>
      </c>
      <c r="E240" t="inlineStr">
        <is>
          <t>RONNEBY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36584-2020</t>
        </is>
      </c>
      <c r="B241" s="1" t="n">
        <v>44050</v>
      </c>
      <c r="C241" s="1" t="n">
        <v>45589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37287-2020</t>
        </is>
      </c>
      <c r="B242" s="1" t="n">
        <v>44055</v>
      </c>
      <c r="C242" s="1" t="n">
        <v>45589</v>
      </c>
      <c r="D242" t="inlineStr">
        <is>
          <t>BLEKINGE LÄN</t>
        </is>
      </c>
      <c r="E242" t="inlineStr">
        <is>
          <t>RONNEBY</t>
        </is>
      </c>
      <c r="F242" t="inlineStr">
        <is>
          <t>Kyrkan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37401-2020</t>
        </is>
      </c>
      <c r="B243" s="1" t="n">
        <v>44055</v>
      </c>
      <c r="C243" s="1" t="n">
        <v>45589</v>
      </c>
      <c r="D243" t="inlineStr">
        <is>
          <t>BLEKINGE LÄN</t>
        </is>
      </c>
      <c r="E243" t="inlineStr">
        <is>
          <t>RONNEBY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38365-2020</t>
        </is>
      </c>
      <c r="B244" s="1" t="n">
        <v>44060</v>
      </c>
      <c r="C244" s="1" t="n">
        <v>45589</v>
      </c>
      <c r="D244" t="inlineStr">
        <is>
          <t>BLEKINGE LÄN</t>
        </is>
      </c>
      <c r="E244" t="inlineStr">
        <is>
          <t>RONNEBY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38578-2020</t>
        </is>
      </c>
      <c r="B245" s="1" t="n">
        <v>44061</v>
      </c>
      <c r="C245" s="1" t="n">
        <v>45589</v>
      </c>
      <c r="D245" t="inlineStr">
        <is>
          <t>BLEKINGE LÄN</t>
        </is>
      </c>
      <c r="E245" t="inlineStr">
        <is>
          <t>RONNEBY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39168-2020</t>
        </is>
      </c>
      <c r="B246" s="1" t="n">
        <v>44063</v>
      </c>
      <c r="C246" s="1" t="n">
        <v>45589</v>
      </c>
      <c r="D246" t="inlineStr">
        <is>
          <t>BLEKINGE LÄN</t>
        </is>
      </c>
      <c r="E246" t="inlineStr">
        <is>
          <t>RONNEBY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40089-2020</t>
        </is>
      </c>
      <c r="B247" s="1" t="n">
        <v>44068</v>
      </c>
      <c r="C247" s="1" t="n">
        <v>45589</v>
      </c>
      <c r="D247" t="inlineStr">
        <is>
          <t>BLEKINGE LÄN</t>
        </is>
      </c>
      <c r="E247" t="inlineStr">
        <is>
          <t>RONNEBY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40961-2020</t>
        </is>
      </c>
      <c r="B248" s="1" t="n">
        <v>44070</v>
      </c>
      <c r="C248" s="1" t="n">
        <v>45589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40972-2020</t>
        </is>
      </c>
      <c r="B249" s="1" t="n">
        <v>44070</v>
      </c>
      <c r="C249" s="1" t="n">
        <v>45589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40964-2020</t>
        </is>
      </c>
      <c r="B250" s="1" t="n">
        <v>44070</v>
      </c>
      <c r="C250" s="1" t="n">
        <v>45589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40967-2020</t>
        </is>
      </c>
      <c r="B251" s="1" t="n">
        <v>44070</v>
      </c>
      <c r="C251" s="1" t="n">
        <v>45589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42082-2020</t>
        </is>
      </c>
      <c r="B252" s="1" t="n">
        <v>44074</v>
      </c>
      <c r="C252" s="1" t="n">
        <v>45589</v>
      </c>
      <c r="D252" t="inlineStr">
        <is>
          <t>BLEKINGE LÄN</t>
        </is>
      </c>
      <c r="E252" t="inlineStr">
        <is>
          <t>RONNEBY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42167-2020</t>
        </is>
      </c>
      <c r="B253" s="1" t="n">
        <v>44075</v>
      </c>
      <c r="C253" s="1" t="n">
        <v>45589</v>
      </c>
      <c r="D253" t="inlineStr">
        <is>
          <t>BLEKINGE LÄN</t>
        </is>
      </c>
      <c r="E253" t="inlineStr">
        <is>
          <t>RONNEBY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42460-2020</t>
        </is>
      </c>
      <c r="B254" s="1" t="n">
        <v>44076</v>
      </c>
      <c r="C254" s="1" t="n">
        <v>45589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43274-2020</t>
        </is>
      </c>
      <c r="B255" s="1" t="n">
        <v>44077</v>
      </c>
      <c r="C255" s="1" t="n">
        <v>45589</v>
      </c>
      <c r="D255" t="inlineStr">
        <is>
          <t>BLEKINGE LÄN</t>
        </is>
      </c>
      <c r="E255" t="inlineStr">
        <is>
          <t>RONNEBY</t>
        </is>
      </c>
      <c r="G255" t="n">
        <v>17.4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43319-2020</t>
        </is>
      </c>
      <c r="B256" s="1" t="n">
        <v>44077</v>
      </c>
      <c r="C256" s="1" t="n">
        <v>45589</v>
      </c>
      <c r="D256" t="inlineStr">
        <is>
          <t>BLEKINGE LÄN</t>
        </is>
      </c>
      <c r="E256" t="inlineStr">
        <is>
          <t>RONNEBY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43036-2020</t>
        </is>
      </c>
      <c r="B257" s="1" t="n">
        <v>44078</v>
      </c>
      <c r="C257" s="1" t="n">
        <v>45589</v>
      </c>
      <c r="D257" t="inlineStr">
        <is>
          <t>BLEKINGE LÄN</t>
        </is>
      </c>
      <c r="E257" t="inlineStr">
        <is>
          <t>RONNEBY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44495-2020</t>
        </is>
      </c>
      <c r="B258" s="1" t="n">
        <v>44084</v>
      </c>
      <c r="C258" s="1" t="n">
        <v>45589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44978-2020</t>
        </is>
      </c>
      <c r="B259" s="1" t="n">
        <v>44088</v>
      </c>
      <c r="C259" s="1" t="n">
        <v>45589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45252-2020</t>
        </is>
      </c>
      <c r="B260" s="1" t="n">
        <v>44088</v>
      </c>
      <c r="C260" s="1" t="n">
        <v>45589</v>
      </c>
      <c r="D260" t="inlineStr">
        <is>
          <t>BLEKINGE LÄN</t>
        </is>
      </c>
      <c r="E260" t="inlineStr">
        <is>
          <t>RONNEBY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45535-2020</t>
        </is>
      </c>
      <c r="B261" s="1" t="n">
        <v>44089</v>
      </c>
      <c r="C261" s="1" t="n">
        <v>45589</v>
      </c>
      <c r="D261" t="inlineStr">
        <is>
          <t>BLEKINGE LÄN</t>
        </is>
      </c>
      <c r="E261" t="inlineStr">
        <is>
          <t>RONNEBY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46437-2020</t>
        </is>
      </c>
      <c r="B262" s="1" t="n">
        <v>44095</v>
      </c>
      <c r="C262" s="1" t="n">
        <v>45589</v>
      </c>
      <c r="D262" t="inlineStr">
        <is>
          <t>BLEKINGE LÄN</t>
        </is>
      </c>
      <c r="E262" t="inlineStr">
        <is>
          <t>RONNEBY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47119-2020</t>
        </is>
      </c>
      <c r="B263" s="1" t="n">
        <v>44096</v>
      </c>
      <c r="C263" s="1" t="n">
        <v>45589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48208-2020</t>
        </is>
      </c>
      <c r="B264" s="1" t="n">
        <v>44102</v>
      </c>
      <c r="C264" s="1" t="n">
        <v>45589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48453-2020</t>
        </is>
      </c>
      <c r="B265" s="1" t="n">
        <v>44102</v>
      </c>
      <c r="C265" s="1" t="n">
        <v>45589</v>
      </c>
      <c r="D265" t="inlineStr">
        <is>
          <t>BLEKINGE LÄN</t>
        </is>
      </c>
      <c r="E265" t="inlineStr">
        <is>
          <t>RONNEBY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48487-2020</t>
        </is>
      </c>
      <c r="B266" s="1" t="n">
        <v>44103</v>
      </c>
      <c r="C266" s="1" t="n">
        <v>45589</v>
      </c>
      <c r="D266" t="inlineStr">
        <is>
          <t>BLEKINGE LÄN</t>
        </is>
      </c>
      <c r="E266" t="inlineStr">
        <is>
          <t>RONNEBY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49121-2020</t>
        </is>
      </c>
      <c r="B267" s="1" t="n">
        <v>44104</v>
      </c>
      <c r="C267" s="1" t="n">
        <v>45589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49134-2020</t>
        </is>
      </c>
      <c r="B268" s="1" t="n">
        <v>44104</v>
      </c>
      <c r="C268" s="1" t="n">
        <v>45589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49141-2020</t>
        </is>
      </c>
      <c r="B269" s="1" t="n">
        <v>44104</v>
      </c>
      <c r="C269" s="1" t="n">
        <v>45589</v>
      </c>
      <c r="D269" t="inlineStr">
        <is>
          <t>BLEKINGE LÄN</t>
        </is>
      </c>
      <c r="E269" t="inlineStr">
        <is>
          <t>RONNEBY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49016-2020</t>
        </is>
      </c>
      <c r="B270" s="1" t="n">
        <v>44104</v>
      </c>
      <c r="C270" s="1" t="n">
        <v>45589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51452-2020</t>
        </is>
      </c>
      <c r="B271" s="1" t="n">
        <v>44106</v>
      </c>
      <c r="C271" s="1" t="n">
        <v>45589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51419-2020</t>
        </is>
      </c>
      <c r="B272" s="1" t="n">
        <v>44106</v>
      </c>
      <c r="C272" s="1" t="n">
        <v>45589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51422-2020</t>
        </is>
      </c>
      <c r="B273" s="1" t="n">
        <v>44106</v>
      </c>
      <c r="C273" s="1" t="n">
        <v>45589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51504-2020</t>
        </is>
      </c>
      <c r="B274" s="1" t="n">
        <v>44113</v>
      </c>
      <c r="C274" s="1" t="n">
        <v>45589</v>
      </c>
      <c r="D274" t="inlineStr">
        <is>
          <t>BLEKINGE LÄN</t>
        </is>
      </c>
      <c r="E274" t="inlineStr">
        <is>
          <t>RONNEBY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52309-2020</t>
        </is>
      </c>
      <c r="B275" s="1" t="n">
        <v>44117</v>
      </c>
      <c r="C275" s="1" t="n">
        <v>45589</v>
      </c>
      <c r="D275" t="inlineStr">
        <is>
          <t>BLEKINGE LÄN</t>
        </is>
      </c>
      <c r="E275" t="inlineStr">
        <is>
          <t>RONNEBY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52825-2020</t>
        </is>
      </c>
      <c r="B276" s="1" t="n">
        <v>44119</v>
      </c>
      <c r="C276" s="1" t="n">
        <v>45589</v>
      </c>
      <c r="D276" t="inlineStr">
        <is>
          <t>BLEKINGE LÄN</t>
        </is>
      </c>
      <c r="E276" t="inlineStr">
        <is>
          <t>RONNEBY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52816-2020</t>
        </is>
      </c>
      <c r="B277" s="1" t="n">
        <v>44119</v>
      </c>
      <c r="C277" s="1" t="n">
        <v>45589</v>
      </c>
      <c r="D277" t="inlineStr">
        <is>
          <t>BLEKINGE LÄN</t>
        </is>
      </c>
      <c r="E277" t="inlineStr">
        <is>
          <t>RONNEBY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53116-2020</t>
        </is>
      </c>
      <c r="B278" s="1" t="n">
        <v>44120</v>
      </c>
      <c r="C278" s="1" t="n">
        <v>45589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53825-2020</t>
        </is>
      </c>
      <c r="B279" s="1" t="n">
        <v>44124</v>
      </c>
      <c r="C279" s="1" t="n">
        <v>45589</v>
      </c>
      <c r="D279" t="inlineStr">
        <is>
          <t>BLEKINGE LÄN</t>
        </is>
      </c>
      <c r="E279" t="inlineStr">
        <is>
          <t>RONNEBY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54998-2020</t>
        </is>
      </c>
      <c r="B280" s="1" t="n">
        <v>44127</v>
      </c>
      <c r="C280" s="1" t="n">
        <v>45589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55001-2020</t>
        </is>
      </c>
      <c r="B281" s="1" t="n">
        <v>44127</v>
      </c>
      <c r="C281" s="1" t="n">
        <v>45589</v>
      </c>
      <c r="D281" t="inlineStr">
        <is>
          <t>BLEKINGE LÄN</t>
        </is>
      </c>
      <c r="E281" t="inlineStr">
        <is>
          <t>RONNEBY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54995-2020</t>
        </is>
      </c>
      <c r="B282" s="1" t="n">
        <v>44127</v>
      </c>
      <c r="C282" s="1" t="n">
        <v>45589</v>
      </c>
      <c r="D282" t="inlineStr">
        <is>
          <t>BLEKINGE LÄN</t>
        </is>
      </c>
      <c r="E282" t="inlineStr">
        <is>
          <t>RONNEBY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55711-2020</t>
        </is>
      </c>
      <c r="B283" s="1" t="n">
        <v>44131</v>
      </c>
      <c r="C283" s="1" t="n">
        <v>45589</v>
      </c>
      <c r="D283" t="inlineStr">
        <is>
          <t>BLEKINGE LÄN</t>
        </is>
      </c>
      <c r="E283" t="inlineStr">
        <is>
          <t>RONNEBY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56634-2020</t>
        </is>
      </c>
      <c r="B284" s="1" t="n">
        <v>44137</v>
      </c>
      <c r="C284" s="1" t="n">
        <v>45589</v>
      </c>
      <c r="D284" t="inlineStr">
        <is>
          <t>BLEKINGE LÄN</t>
        </is>
      </c>
      <c r="E284" t="inlineStr">
        <is>
          <t>RONNEBY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56619-2020</t>
        </is>
      </c>
      <c r="B285" s="1" t="n">
        <v>44137</v>
      </c>
      <c r="C285" s="1" t="n">
        <v>45589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57109-2020</t>
        </is>
      </c>
      <c r="B286" s="1" t="n">
        <v>44138</v>
      </c>
      <c r="C286" s="1" t="n">
        <v>45589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57045-2020</t>
        </is>
      </c>
      <c r="B287" s="1" t="n">
        <v>44138</v>
      </c>
      <c r="C287" s="1" t="n">
        <v>45589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57369-2020</t>
        </is>
      </c>
      <c r="B288" s="1" t="n">
        <v>44139</v>
      </c>
      <c r="C288" s="1" t="n">
        <v>45589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57368-2020</t>
        </is>
      </c>
      <c r="B289" s="1" t="n">
        <v>44139</v>
      </c>
      <c r="C289" s="1" t="n">
        <v>45589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59318-2020</t>
        </is>
      </c>
      <c r="B290" s="1" t="n">
        <v>44147</v>
      </c>
      <c r="C290" s="1" t="n">
        <v>45589</v>
      </c>
      <c r="D290" t="inlineStr">
        <is>
          <t>BLEKINGE LÄN</t>
        </is>
      </c>
      <c r="E290" t="inlineStr">
        <is>
          <t>RONNEBY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59306-2020</t>
        </is>
      </c>
      <c r="B291" s="1" t="n">
        <v>44147</v>
      </c>
      <c r="C291" s="1" t="n">
        <v>45589</v>
      </c>
      <c r="D291" t="inlineStr">
        <is>
          <t>BLEKINGE LÄN</t>
        </is>
      </c>
      <c r="E291" t="inlineStr">
        <is>
          <t>RONNEBY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60334-2020</t>
        </is>
      </c>
      <c r="B292" s="1" t="n">
        <v>44152</v>
      </c>
      <c r="C292" s="1" t="n">
        <v>45589</v>
      </c>
      <c r="D292" t="inlineStr">
        <is>
          <t>BLEKINGE LÄN</t>
        </is>
      </c>
      <c r="E292" t="inlineStr">
        <is>
          <t>RONNEBY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60816-2020</t>
        </is>
      </c>
      <c r="B293" s="1" t="n">
        <v>44154</v>
      </c>
      <c r="C293" s="1" t="n">
        <v>45589</v>
      </c>
      <c r="D293" t="inlineStr">
        <is>
          <t>BLEKINGE LÄN</t>
        </is>
      </c>
      <c r="E293" t="inlineStr">
        <is>
          <t>RONNEBY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62164-2020</t>
        </is>
      </c>
      <c r="B294" s="1" t="n">
        <v>44158</v>
      </c>
      <c r="C294" s="1" t="n">
        <v>45589</v>
      </c>
      <c r="D294" t="inlineStr">
        <is>
          <t>BLEKINGE LÄN</t>
        </is>
      </c>
      <c r="E294" t="inlineStr">
        <is>
          <t>RONNEBY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62222-2020</t>
        </is>
      </c>
      <c r="B295" s="1" t="n">
        <v>44159</v>
      </c>
      <c r="C295" s="1" t="n">
        <v>45589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62223-2020</t>
        </is>
      </c>
      <c r="B296" s="1" t="n">
        <v>44159</v>
      </c>
      <c r="C296" s="1" t="n">
        <v>45589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67382-2020</t>
        </is>
      </c>
      <c r="B297" s="1" t="n">
        <v>44181</v>
      </c>
      <c r="C297" s="1" t="n">
        <v>45589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68762-2020</t>
        </is>
      </c>
      <c r="B298" s="1" t="n">
        <v>44187</v>
      </c>
      <c r="C298" s="1" t="n">
        <v>45589</v>
      </c>
      <c r="D298" t="inlineStr">
        <is>
          <t>BLEKINGE LÄN</t>
        </is>
      </c>
      <c r="E298" t="inlineStr">
        <is>
          <t>RONNEBY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481-2021</t>
        </is>
      </c>
      <c r="B299" s="1" t="n">
        <v>44203</v>
      </c>
      <c r="C299" s="1" t="n">
        <v>45589</v>
      </c>
      <c r="D299" t="inlineStr">
        <is>
          <t>BLEKINGE LÄN</t>
        </is>
      </c>
      <c r="E299" t="inlineStr">
        <is>
          <t>RONNEBY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513-2021</t>
        </is>
      </c>
      <c r="B300" s="1" t="n">
        <v>44203</v>
      </c>
      <c r="C300" s="1" t="n">
        <v>45589</v>
      </c>
      <c r="D300" t="inlineStr">
        <is>
          <t>BLEKINGE LÄN</t>
        </is>
      </c>
      <c r="E300" t="inlineStr">
        <is>
          <t>RONNEBY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898-2021</t>
        </is>
      </c>
      <c r="B301" s="1" t="n">
        <v>44206</v>
      </c>
      <c r="C301" s="1" t="n">
        <v>45589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1004-2021</t>
        </is>
      </c>
      <c r="B302" s="1" t="n">
        <v>44207</v>
      </c>
      <c r="C302" s="1" t="n">
        <v>45589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1839-2021</t>
        </is>
      </c>
      <c r="B303" s="1" t="n">
        <v>44209</v>
      </c>
      <c r="C303" s="1" t="n">
        <v>45589</v>
      </c>
      <c r="D303" t="inlineStr">
        <is>
          <t>BLEKINGE LÄN</t>
        </is>
      </c>
      <c r="E303" t="inlineStr">
        <is>
          <t>RONNEBY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2722-2021</t>
        </is>
      </c>
      <c r="B304" s="1" t="n">
        <v>44215</v>
      </c>
      <c r="C304" s="1" t="n">
        <v>45589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2703-2021</t>
        </is>
      </c>
      <c r="B305" s="1" t="n">
        <v>44215</v>
      </c>
      <c r="C305" s="1" t="n">
        <v>45589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3021-2021</t>
        </is>
      </c>
      <c r="B306" s="1" t="n">
        <v>44216</v>
      </c>
      <c r="C306" s="1" t="n">
        <v>45589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2848-2021</t>
        </is>
      </c>
      <c r="B307" s="1" t="n">
        <v>44216</v>
      </c>
      <c r="C307" s="1" t="n">
        <v>45589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3413-2021</t>
        </is>
      </c>
      <c r="B308" s="1" t="n">
        <v>44218</v>
      </c>
      <c r="C308" s="1" t="n">
        <v>45589</v>
      </c>
      <c r="D308" t="inlineStr">
        <is>
          <t>BLEKINGE LÄN</t>
        </is>
      </c>
      <c r="E308" t="inlineStr">
        <is>
          <t>RONNEBY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4029-2021</t>
        </is>
      </c>
      <c r="B309" s="1" t="n">
        <v>44218</v>
      </c>
      <c r="C309" s="1" t="n">
        <v>45589</v>
      </c>
      <c r="D309" t="inlineStr">
        <is>
          <t>BLEKINGE LÄN</t>
        </is>
      </c>
      <c r="E309" t="inlineStr">
        <is>
          <t>RONNEBY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4098-2021</t>
        </is>
      </c>
      <c r="B310" s="1" t="n">
        <v>44222</v>
      </c>
      <c r="C310" s="1" t="n">
        <v>45589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6136-2021</t>
        </is>
      </c>
      <c r="B311" s="1" t="n">
        <v>44232</v>
      </c>
      <c r="C311" s="1" t="n">
        <v>45589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6510-2021</t>
        </is>
      </c>
      <c r="B312" s="1" t="n">
        <v>44236</v>
      </c>
      <c r="C312" s="1" t="n">
        <v>45589</v>
      </c>
      <c r="D312" t="inlineStr">
        <is>
          <t>BLEKINGE LÄN</t>
        </is>
      </c>
      <c r="E312" t="inlineStr">
        <is>
          <t>RONNEBY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7093-2021</t>
        </is>
      </c>
      <c r="B313" s="1" t="n">
        <v>44238</v>
      </c>
      <c r="C313" s="1" t="n">
        <v>45589</v>
      </c>
      <c r="D313" t="inlineStr">
        <is>
          <t>BLEKINGE LÄN</t>
        </is>
      </c>
      <c r="E313" t="inlineStr">
        <is>
          <t>RONNEBY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7200-2021</t>
        </is>
      </c>
      <c r="B314" s="1" t="n">
        <v>44238</v>
      </c>
      <c r="C314" s="1" t="n">
        <v>45589</v>
      </c>
      <c r="D314" t="inlineStr">
        <is>
          <t>BLEKINGE LÄN</t>
        </is>
      </c>
      <c r="E314" t="inlineStr">
        <is>
          <t>RONNEBY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7391-2021</t>
        </is>
      </c>
      <c r="B315" s="1" t="n">
        <v>44239</v>
      </c>
      <c r="C315" s="1" t="n">
        <v>45589</v>
      </c>
      <c r="D315" t="inlineStr">
        <is>
          <t>BLEKINGE LÄN</t>
        </is>
      </c>
      <c r="E315" t="inlineStr">
        <is>
          <t>RONNEBY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8380-2021</t>
        </is>
      </c>
      <c r="B316" s="1" t="n">
        <v>44245</v>
      </c>
      <c r="C316" s="1" t="n">
        <v>45589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8615-2021</t>
        </is>
      </c>
      <c r="B317" s="1" t="n">
        <v>44245</v>
      </c>
      <c r="C317" s="1" t="n">
        <v>45589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8699-2021</t>
        </is>
      </c>
      <c r="B318" s="1" t="n">
        <v>44246</v>
      </c>
      <c r="C318" s="1" t="n">
        <v>45589</v>
      </c>
      <c r="D318" t="inlineStr">
        <is>
          <t>BLEKINGE LÄN</t>
        </is>
      </c>
      <c r="E318" t="inlineStr">
        <is>
          <t>RONNEBY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9098-2021</t>
        </is>
      </c>
      <c r="B319" s="1" t="n">
        <v>44249</v>
      </c>
      <c r="C319" s="1" t="n">
        <v>45589</v>
      </c>
      <c r="D319" t="inlineStr">
        <is>
          <t>BLEKINGE LÄN</t>
        </is>
      </c>
      <c r="E319" t="inlineStr">
        <is>
          <t>RONNEBY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9881-2021</t>
        </is>
      </c>
      <c r="B320" s="1" t="n">
        <v>44253</v>
      </c>
      <c r="C320" s="1" t="n">
        <v>45589</v>
      </c>
      <c r="D320" t="inlineStr">
        <is>
          <t>BLEKINGE LÄN</t>
        </is>
      </c>
      <c r="E320" t="inlineStr">
        <is>
          <t>RONNEBY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10467-2021</t>
        </is>
      </c>
      <c r="B321" s="1" t="n">
        <v>44257</v>
      </c>
      <c r="C321" s="1" t="n">
        <v>45589</v>
      </c>
      <c r="D321" t="inlineStr">
        <is>
          <t>BLEKINGE LÄN</t>
        </is>
      </c>
      <c r="E321" t="inlineStr">
        <is>
          <t>RONNEBY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10567-2021</t>
        </is>
      </c>
      <c r="B322" s="1" t="n">
        <v>44257</v>
      </c>
      <c r="C322" s="1" t="n">
        <v>45589</v>
      </c>
      <c r="D322" t="inlineStr">
        <is>
          <t>BLEKINGE LÄN</t>
        </is>
      </c>
      <c r="E322" t="inlineStr">
        <is>
          <t>RONNEBY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10592-2021</t>
        </is>
      </c>
      <c r="B323" s="1" t="n">
        <v>44258</v>
      </c>
      <c r="C323" s="1" t="n">
        <v>45589</v>
      </c>
      <c r="D323" t="inlineStr">
        <is>
          <t>BLEKINGE LÄN</t>
        </is>
      </c>
      <c r="E323" t="inlineStr">
        <is>
          <t>RONNEBY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10593-2021</t>
        </is>
      </c>
      <c r="B324" s="1" t="n">
        <v>44258</v>
      </c>
      <c r="C324" s="1" t="n">
        <v>45589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11072-2021</t>
        </is>
      </c>
      <c r="B325" s="1" t="n">
        <v>44259</v>
      </c>
      <c r="C325" s="1" t="n">
        <v>45589</v>
      </c>
      <c r="D325" t="inlineStr">
        <is>
          <t>BLEKINGE LÄN</t>
        </is>
      </c>
      <c r="E325" t="inlineStr">
        <is>
          <t>RONNEBY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12878-2021</t>
        </is>
      </c>
      <c r="B326" s="1" t="n">
        <v>44271</v>
      </c>
      <c r="C326" s="1" t="n">
        <v>45589</v>
      </c>
      <c r="D326" t="inlineStr">
        <is>
          <t>BLEKINGE LÄN</t>
        </is>
      </c>
      <c r="E326" t="inlineStr">
        <is>
          <t>RONNEBY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13002-2021</t>
        </is>
      </c>
      <c r="B327" s="1" t="n">
        <v>44271</v>
      </c>
      <c r="C327" s="1" t="n">
        <v>45589</v>
      </c>
      <c r="D327" t="inlineStr">
        <is>
          <t>BLEKINGE LÄN</t>
        </is>
      </c>
      <c r="E327" t="inlineStr">
        <is>
          <t>RONNEBY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13417-2021</t>
        </is>
      </c>
      <c r="B328" s="1" t="n">
        <v>44273</v>
      </c>
      <c r="C328" s="1" t="n">
        <v>45589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14075-2021</t>
        </is>
      </c>
      <c r="B329" s="1" t="n">
        <v>44277</v>
      </c>
      <c r="C329" s="1" t="n">
        <v>45589</v>
      </c>
      <c r="D329" t="inlineStr">
        <is>
          <t>BLEKINGE LÄN</t>
        </is>
      </c>
      <c r="E329" t="inlineStr">
        <is>
          <t>RONNEBY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14223-2021</t>
        </is>
      </c>
      <c r="B330" s="1" t="n">
        <v>44278</v>
      </c>
      <c r="C330" s="1" t="n">
        <v>45589</v>
      </c>
      <c r="D330" t="inlineStr">
        <is>
          <t>BLEKINGE LÄN</t>
        </is>
      </c>
      <c r="E330" t="inlineStr">
        <is>
          <t>RONNEBY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14352-2021</t>
        </is>
      </c>
      <c r="B331" s="1" t="n">
        <v>44279</v>
      </c>
      <c r="C331" s="1" t="n">
        <v>45589</v>
      </c>
      <c r="D331" t="inlineStr">
        <is>
          <t>BLEKINGE LÄN</t>
        </is>
      </c>
      <c r="E331" t="inlineStr">
        <is>
          <t>RONNEBY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14579-2021</t>
        </is>
      </c>
      <c r="B332" s="1" t="n">
        <v>44279</v>
      </c>
      <c r="C332" s="1" t="n">
        <v>45589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15183-2021</t>
        </is>
      </c>
      <c r="B333" s="1" t="n">
        <v>44284</v>
      </c>
      <c r="C333" s="1" t="n">
        <v>45589</v>
      </c>
      <c r="D333" t="inlineStr">
        <is>
          <t>BLEKINGE LÄN</t>
        </is>
      </c>
      <c r="E333" t="inlineStr">
        <is>
          <t>RONNEBY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15361-2021</t>
        </is>
      </c>
      <c r="B334" s="1" t="n">
        <v>44284</v>
      </c>
      <c r="C334" s="1" t="n">
        <v>45589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15362-2021</t>
        </is>
      </c>
      <c r="B335" s="1" t="n">
        <v>44284</v>
      </c>
      <c r="C335" s="1" t="n">
        <v>45589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15736-2021</t>
        </is>
      </c>
      <c r="B336" s="1" t="n">
        <v>44286</v>
      </c>
      <c r="C336" s="1" t="n">
        <v>45589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15717-2021</t>
        </is>
      </c>
      <c r="B337" s="1" t="n">
        <v>44286</v>
      </c>
      <c r="C337" s="1" t="n">
        <v>45589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15745-2021</t>
        </is>
      </c>
      <c r="B338" s="1" t="n">
        <v>44286</v>
      </c>
      <c r="C338" s="1" t="n">
        <v>45589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17251-2021</t>
        </is>
      </c>
      <c r="B339" s="1" t="n">
        <v>44298</v>
      </c>
      <c r="C339" s="1" t="n">
        <v>45589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17577-2021</t>
        </is>
      </c>
      <c r="B340" s="1" t="n">
        <v>44299</v>
      </c>
      <c r="C340" s="1" t="n">
        <v>45589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17578-2021</t>
        </is>
      </c>
      <c r="B341" s="1" t="n">
        <v>44299</v>
      </c>
      <c r="C341" s="1" t="n">
        <v>45589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17631-2021</t>
        </is>
      </c>
      <c r="B342" s="1" t="n">
        <v>44300</v>
      </c>
      <c r="C342" s="1" t="n">
        <v>45589</v>
      </c>
      <c r="D342" t="inlineStr">
        <is>
          <t>BLEKINGE LÄN</t>
        </is>
      </c>
      <c r="E342" t="inlineStr">
        <is>
          <t>RONNEBY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17640-2021</t>
        </is>
      </c>
      <c r="B343" s="1" t="n">
        <v>44300</v>
      </c>
      <c r="C343" s="1" t="n">
        <v>45589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17635-2021</t>
        </is>
      </c>
      <c r="B344" s="1" t="n">
        <v>44300</v>
      </c>
      <c r="C344" s="1" t="n">
        <v>45589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17843-2021</t>
        </is>
      </c>
      <c r="B345" s="1" t="n">
        <v>44300</v>
      </c>
      <c r="C345" s="1" t="n">
        <v>45589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18805-2021</t>
        </is>
      </c>
      <c r="B346" s="1" t="n">
        <v>44307</v>
      </c>
      <c r="C346" s="1" t="n">
        <v>45589</v>
      </c>
      <c r="D346" t="inlineStr">
        <is>
          <t>BLEKINGE LÄN</t>
        </is>
      </c>
      <c r="E346" t="inlineStr">
        <is>
          <t>RONNEBY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18800-2021</t>
        </is>
      </c>
      <c r="B347" s="1" t="n">
        <v>44307</v>
      </c>
      <c r="C347" s="1" t="n">
        <v>45589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18810-2021</t>
        </is>
      </c>
      <c r="B348" s="1" t="n">
        <v>44307</v>
      </c>
      <c r="C348" s="1" t="n">
        <v>45589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18796-2021</t>
        </is>
      </c>
      <c r="B349" s="1" t="n">
        <v>44307</v>
      </c>
      <c r="C349" s="1" t="n">
        <v>45589</v>
      </c>
      <c r="D349" t="inlineStr">
        <is>
          <t>BLEKINGE LÄN</t>
        </is>
      </c>
      <c r="E349" t="inlineStr">
        <is>
          <t>RONNEBY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18807-2021</t>
        </is>
      </c>
      <c r="B350" s="1" t="n">
        <v>44307</v>
      </c>
      <c r="C350" s="1" t="n">
        <v>45589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19469-2021</t>
        </is>
      </c>
      <c r="B351" s="1" t="n">
        <v>44311</v>
      </c>
      <c r="C351" s="1" t="n">
        <v>45589</v>
      </c>
      <c r="D351" t="inlineStr">
        <is>
          <t>BLEKINGE LÄN</t>
        </is>
      </c>
      <c r="E351" t="inlineStr">
        <is>
          <t>RONNEBY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19453-2021</t>
        </is>
      </c>
      <c r="B352" s="1" t="n">
        <v>44311</v>
      </c>
      <c r="C352" s="1" t="n">
        <v>45589</v>
      </c>
      <c r="D352" t="inlineStr">
        <is>
          <t>BLEKINGE LÄN</t>
        </is>
      </c>
      <c r="E352" t="inlineStr">
        <is>
          <t>RONNEBY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19470-2021</t>
        </is>
      </c>
      <c r="B353" s="1" t="n">
        <v>44311</v>
      </c>
      <c r="C353" s="1" t="n">
        <v>45589</v>
      </c>
      <c r="D353" t="inlineStr">
        <is>
          <t>BLEKINGE LÄN</t>
        </is>
      </c>
      <c r="E353" t="inlineStr">
        <is>
          <t>RONNEBY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19454-2021</t>
        </is>
      </c>
      <c r="B354" s="1" t="n">
        <v>44311</v>
      </c>
      <c r="C354" s="1" t="n">
        <v>45589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19701-2021</t>
        </is>
      </c>
      <c r="B355" s="1" t="n">
        <v>44312</v>
      </c>
      <c r="C355" s="1" t="n">
        <v>45589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19703-2021</t>
        </is>
      </c>
      <c r="B356" s="1" t="n">
        <v>44312</v>
      </c>
      <c r="C356" s="1" t="n">
        <v>45589</v>
      </c>
      <c r="D356" t="inlineStr">
        <is>
          <t>BLEKINGE LÄN</t>
        </is>
      </c>
      <c r="E356" t="inlineStr">
        <is>
          <t>RONNEBY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20207-2021</t>
        </is>
      </c>
      <c r="B357" s="1" t="n">
        <v>44314</v>
      </c>
      <c r="C357" s="1" t="n">
        <v>45589</v>
      </c>
      <c r="D357" t="inlineStr">
        <is>
          <t>BLEKINGE LÄN</t>
        </is>
      </c>
      <c r="E357" t="inlineStr">
        <is>
          <t>RONNEBY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20200-2021</t>
        </is>
      </c>
      <c r="B358" s="1" t="n">
        <v>44314</v>
      </c>
      <c r="C358" s="1" t="n">
        <v>45589</v>
      </c>
      <c r="D358" t="inlineStr">
        <is>
          <t>BLEKINGE LÄN</t>
        </is>
      </c>
      <c r="E358" t="inlineStr">
        <is>
          <t>RONNEBY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21444-2021</t>
        </is>
      </c>
      <c r="B359" s="1" t="n">
        <v>44316</v>
      </c>
      <c r="C359" s="1" t="n">
        <v>45589</v>
      </c>
      <c r="D359" t="inlineStr">
        <is>
          <t>BLEKINGE LÄN</t>
        </is>
      </c>
      <c r="E359" t="inlineStr">
        <is>
          <t>RONNEBY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20841-2021</t>
        </is>
      </c>
      <c r="B360" s="1" t="n">
        <v>44319</v>
      </c>
      <c r="C360" s="1" t="n">
        <v>45589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22223-2021</t>
        </is>
      </c>
      <c r="B361" s="1" t="n">
        <v>44326</v>
      </c>
      <c r="C361" s="1" t="n">
        <v>45589</v>
      </c>
      <c r="D361" t="inlineStr">
        <is>
          <t>BLEKINGE LÄN</t>
        </is>
      </c>
      <c r="E361" t="inlineStr">
        <is>
          <t>RONNEBY</t>
        </is>
      </c>
      <c r="G361" t="n">
        <v>11.5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22230-2021</t>
        </is>
      </c>
      <c r="B362" s="1" t="n">
        <v>44326</v>
      </c>
      <c r="C362" s="1" t="n">
        <v>45589</v>
      </c>
      <c r="D362" t="inlineStr">
        <is>
          <t>BLEKINGE LÄN</t>
        </is>
      </c>
      <c r="E362" t="inlineStr">
        <is>
          <t>RONNEBY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23061-2021</t>
        </is>
      </c>
      <c r="B363" s="1" t="n">
        <v>44329</v>
      </c>
      <c r="C363" s="1" t="n">
        <v>45589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24227-2021</t>
        </is>
      </c>
      <c r="B364" s="1" t="n">
        <v>44336</v>
      </c>
      <c r="C364" s="1" t="n">
        <v>45589</v>
      </c>
      <c r="D364" t="inlineStr">
        <is>
          <t>BLEKINGE LÄN</t>
        </is>
      </c>
      <c r="E364" t="inlineStr">
        <is>
          <t>RONNEBY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24722-2021</t>
        </is>
      </c>
      <c r="B365" s="1" t="n">
        <v>44340</v>
      </c>
      <c r="C365" s="1" t="n">
        <v>45589</v>
      </c>
      <c r="D365" t="inlineStr">
        <is>
          <t>BLEKINGE LÄN</t>
        </is>
      </c>
      <c r="E365" t="inlineStr">
        <is>
          <t>RONNEBY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24959-2021</t>
        </is>
      </c>
      <c r="B366" s="1" t="n">
        <v>44341</v>
      </c>
      <c r="C366" s="1" t="n">
        <v>45589</v>
      </c>
      <c r="D366" t="inlineStr">
        <is>
          <t>BLEKINGE LÄN</t>
        </is>
      </c>
      <c r="E366" t="inlineStr">
        <is>
          <t>RONNEBY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25600-2021</t>
        </is>
      </c>
      <c r="B367" s="1" t="n">
        <v>44343</v>
      </c>
      <c r="C367" s="1" t="n">
        <v>45589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25596-2021</t>
        </is>
      </c>
      <c r="B368" s="1" t="n">
        <v>44343</v>
      </c>
      <c r="C368" s="1" t="n">
        <v>45589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25603-2021</t>
        </is>
      </c>
      <c r="B369" s="1" t="n">
        <v>44343</v>
      </c>
      <c r="C369" s="1" t="n">
        <v>45589</v>
      </c>
      <c r="D369" t="inlineStr">
        <is>
          <t>BLEKINGE LÄN</t>
        </is>
      </c>
      <c r="E369" t="inlineStr">
        <is>
          <t>RONNEBY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29374-2021</t>
        </is>
      </c>
      <c r="B370" s="1" t="n">
        <v>44361</v>
      </c>
      <c r="C370" s="1" t="n">
        <v>45589</v>
      </c>
      <c r="D370" t="inlineStr">
        <is>
          <t>BLEKINGE LÄN</t>
        </is>
      </c>
      <c r="E370" t="inlineStr">
        <is>
          <t>RONNEBY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30116-2021</t>
        </is>
      </c>
      <c r="B371" s="1" t="n">
        <v>44363</v>
      </c>
      <c r="C371" s="1" t="n">
        <v>45589</v>
      </c>
      <c r="D371" t="inlineStr">
        <is>
          <t>BLEKINGE LÄN</t>
        </is>
      </c>
      <c r="E371" t="inlineStr">
        <is>
          <t>RONNEBY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31402-2021</t>
        </is>
      </c>
      <c r="B372" s="1" t="n">
        <v>44369</v>
      </c>
      <c r="C372" s="1" t="n">
        <v>45589</v>
      </c>
      <c r="D372" t="inlineStr">
        <is>
          <t>BLEKINGE LÄN</t>
        </is>
      </c>
      <c r="E372" t="inlineStr">
        <is>
          <t>RONNEBY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31966-2021</t>
        </is>
      </c>
      <c r="B373" s="1" t="n">
        <v>44370</v>
      </c>
      <c r="C373" s="1" t="n">
        <v>45589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32061-2021</t>
        </is>
      </c>
      <c r="B374" s="1" t="n">
        <v>44370</v>
      </c>
      <c r="C374" s="1" t="n">
        <v>45589</v>
      </c>
      <c r="D374" t="inlineStr">
        <is>
          <t>BLEKINGE LÄN</t>
        </is>
      </c>
      <c r="E374" t="inlineStr">
        <is>
          <t>RONNEBY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32452-2021</t>
        </is>
      </c>
      <c r="B375" s="1" t="n">
        <v>44371</v>
      </c>
      <c r="C375" s="1" t="n">
        <v>45589</v>
      </c>
      <c r="D375" t="inlineStr">
        <is>
          <t>BLEKINGE LÄN</t>
        </is>
      </c>
      <c r="E375" t="inlineStr">
        <is>
          <t>RONNEBY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32528-2021</t>
        </is>
      </c>
      <c r="B376" s="1" t="n">
        <v>44374</v>
      </c>
      <c r="C376" s="1" t="n">
        <v>45589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32670-2021</t>
        </is>
      </c>
      <c r="B377" s="1" t="n">
        <v>44375</v>
      </c>
      <c r="C377" s="1" t="n">
        <v>45589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32844-2021</t>
        </is>
      </c>
      <c r="B378" s="1" t="n">
        <v>44375</v>
      </c>
      <c r="C378" s="1" t="n">
        <v>45589</v>
      </c>
      <c r="D378" t="inlineStr">
        <is>
          <t>BLEKINGE LÄN</t>
        </is>
      </c>
      <c r="E378" t="inlineStr">
        <is>
          <t>RONNEBY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33948-2021</t>
        </is>
      </c>
      <c r="B379" s="1" t="n">
        <v>44378</v>
      </c>
      <c r="C379" s="1" t="n">
        <v>45589</v>
      </c>
      <c r="D379" t="inlineStr">
        <is>
          <t>BLEKINGE LÄN</t>
        </is>
      </c>
      <c r="E379" t="inlineStr">
        <is>
          <t>RONNEBY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35493-2021</t>
        </is>
      </c>
      <c r="B380" s="1" t="n">
        <v>44385</v>
      </c>
      <c r="C380" s="1" t="n">
        <v>45589</v>
      </c>
      <c r="D380" t="inlineStr">
        <is>
          <t>BLEKINGE LÄN</t>
        </is>
      </c>
      <c r="E380" t="inlineStr">
        <is>
          <t>RONNEBY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35743-2021</t>
        </is>
      </c>
      <c r="B381" s="1" t="n">
        <v>44386</v>
      </c>
      <c r="C381" s="1" t="n">
        <v>45589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35827-2021</t>
        </is>
      </c>
      <c r="B382" s="1" t="n">
        <v>44386</v>
      </c>
      <c r="C382" s="1" t="n">
        <v>45589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39386-2021</t>
        </is>
      </c>
      <c r="B383" s="1" t="n">
        <v>44414</v>
      </c>
      <c r="C383" s="1" t="n">
        <v>45589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40346-2021</t>
        </is>
      </c>
      <c r="B384" s="1" t="n">
        <v>44419</v>
      </c>
      <c r="C384" s="1" t="n">
        <v>45589</v>
      </c>
      <c r="D384" t="inlineStr">
        <is>
          <t>BLEKINGE LÄN</t>
        </is>
      </c>
      <c r="E384" t="inlineStr">
        <is>
          <t>RONNEBY</t>
        </is>
      </c>
      <c r="F384" t="inlineStr">
        <is>
          <t>Kommuner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40525-2021</t>
        </is>
      </c>
      <c r="B385" s="1" t="n">
        <v>44420</v>
      </c>
      <c r="C385" s="1" t="n">
        <v>45589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45589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45589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45589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45589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45589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45589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45589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45589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45589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45589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45589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45589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45589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45589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45589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45589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45589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45589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45589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45589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45589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45589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45589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45589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45589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45589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45589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45589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45589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45589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45589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45589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45589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45589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45589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45589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45589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45589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45589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45589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45589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45589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45589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45589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45589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45589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45589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45589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45589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45589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45589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45589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45589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45589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45589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45589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45589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45589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45589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45589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45589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45589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45589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45589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45589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45589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45589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45589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45589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45589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45589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45589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45589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45589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45589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45589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45589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45589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45589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45589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45589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45589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45589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45589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45589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45589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45589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45589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45589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45589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45589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45589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45589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45589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45589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45589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45589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45589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45589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45589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45589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45589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45589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45589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45589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45589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45589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45589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45589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45589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45589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45589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45589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45589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45589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45589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45589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45589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45589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45589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45589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45589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45589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45589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45589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45589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45589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45589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45589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45589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45589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45589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45589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45589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45589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45589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45589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45589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45589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45589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45589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45589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45589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45589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45589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45589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45589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45589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45589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45589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45589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45589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45589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45589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45589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45589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45589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45589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45589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45589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45589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45589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45589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45589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45589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45589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45589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45589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45589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45589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45589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45589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45589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45589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45589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45589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45589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45589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45589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45589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45589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45589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45589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45589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45589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45589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45589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45589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45589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45589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45589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45589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45589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45589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45589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45589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45589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45589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45589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45589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45589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45589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45589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45589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45589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45589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45589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45589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45589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45589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45589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45589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45589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45589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45589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45589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45589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45589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45589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45589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45589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45589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45589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45589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45589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45589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45589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45589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45589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45589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45589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45589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45589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45589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45589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45589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45589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45589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45589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45589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45589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45589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45589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45589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45589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45589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45589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45589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45589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45589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45589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45589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45589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45589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45589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45589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45589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45589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45589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45589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45589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45589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45589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45589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45589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45589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45589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45589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45589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45589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45589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45589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45589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45589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45589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45589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45589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45589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45589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45589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45589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45589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45589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45589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45589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45589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45589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45589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45589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45589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45589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45589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45589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45589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45589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45589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45589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45589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45589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45589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45589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45589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45589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45589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45589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45589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45589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45589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45589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45589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45589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45589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45589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45589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45589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45589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45589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45589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45589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45589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45589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45589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45589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45589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45589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45589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45589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45589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45589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45589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45589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45589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45589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45589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45589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45589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45589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45589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45589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45589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45589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45589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45589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45589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45589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45589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45589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45589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45589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45589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45589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45589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45589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45589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45589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45589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45589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45589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45589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45589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45589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45589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45589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45589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45589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45589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45589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45589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45589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45589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45589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45589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45589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45589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45589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45589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45589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45589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45589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45589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45589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45589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45589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45589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45589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45589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45589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45589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45589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45589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45589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45589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45589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45589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45589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45589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45589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45589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45589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45589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45589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45589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45589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45589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45589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45589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45589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45589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45589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45589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45589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45589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45589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45589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45589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45589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45589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45589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45589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45589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45589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45589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45589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45589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45589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45589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45589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45589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45589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45589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45589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45589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45589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45589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45589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45589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45589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45589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45589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45589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45589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45589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45589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45589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45589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45589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45589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45589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45589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45589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45589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45589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45589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45589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45589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45589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45589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45589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45589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45589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45589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45589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45589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45589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45589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45589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45589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45589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45589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45589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45589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45589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45589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45589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45589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45589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45589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45589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45589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45589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45589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45589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45589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45589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45589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45589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45589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45589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45589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45589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45589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45589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45589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45589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45589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45589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45589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45589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45589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45589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45589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45589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45589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45589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45589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45589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45589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45589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45589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45589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45589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45589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45589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45589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45589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45589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45589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45589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45589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45589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45589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45589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45589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45589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45589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45589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45589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45589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45589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45589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45589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45589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45589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45589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45589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45589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45589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45589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45589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45589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45589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45589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45589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45589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45589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45589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45589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45589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45589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45589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45589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45589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45589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45589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45589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45589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45589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45589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45589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45589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45589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45589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45589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45589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45589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45589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45589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45589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45589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45589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45589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45589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45589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45589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45589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45589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45589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45589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45589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45589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45589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45589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45589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45589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45589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45589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45589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45589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45589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45589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45589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45589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45589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45589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45589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45589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45589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45589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45589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45589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45589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45589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45589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45589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45589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45589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45589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45589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45589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45589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45589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45589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45589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45589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45589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45589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45589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45589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45589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45589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45589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45589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45589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45589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45589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45589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45589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45589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45589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45589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45589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45589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45589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45589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45589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45589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45589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45589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45589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45589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45589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45589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45589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45589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45589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45589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45589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45589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45589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45589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45589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45589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45589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45589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45589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45589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45589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45589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45589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45589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45589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45589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45589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45589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45589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45589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45589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45589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45589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45589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45589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45589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45589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45589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45589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45589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45589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45589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45589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45589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45589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45589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45589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45589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45589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45589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45589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45589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45589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45589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45589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45589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45589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41660-2024</t>
        </is>
      </c>
      <c r="B1079" s="1" t="n">
        <v>45560</v>
      </c>
      <c r="C1079" s="1" t="n">
        <v>45589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41665-2024</t>
        </is>
      </c>
      <c r="B1080" s="1" t="n">
        <v>45560</v>
      </c>
      <c r="C1080" s="1" t="n">
        <v>45589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41682-2024</t>
        </is>
      </c>
      <c r="B1081" s="1" t="n">
        <v>45560</v>
      </c>
      <c r="C1081" s="1" t="n">
        <v>45589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41658-2024</t>
        </is>
      </c>
      <c r="B1082" s="1" t="n">
        <v>45560</v>
      </c>
      <c r="C1082" s="1" t="n">
        <v>45589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45589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45589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45589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45589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45589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45589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45589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45589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45589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45589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45785-2024</t>
        </is>
      </c>
      <c r="B1093" s="1" t="n">
        <v>45579</v>
      </c>
      <c r="C1093" s="1" t="n">
        <v>45589</v>
      </c>
      <c r="D1093" t="inlineStr">
        <is>
          <t>BLEKINGE LÄN</t>
        </is>
      </c>
      <c r="E1093" t="inlineStr">
        <is>
          <t>RONNEBY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45642-2024</t>
        </is>
      </c>
      <c r="B1094" s="1" t="n">
        <v>45579</v>
      </c>
      <c r="C1094" s="1" t="n">
        <v>45589</v>
      </c>
      <c r="D1094" t="inlineStr">
        <is>
          <t>BLEKINGE LÄN</t>
        </is>
      </c>
      <c r="E1094" t="inlineStr">
        <is>
          <t>RONNEBY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45644-2024</t>
        </is>
      </c>
      <c r="B1095" s="1" t="n">
        <v>45579</v>
      </c>
      <c r="C1095" s="1" t="n">
        <v>45589</v>
      </c>
      <c r="D1095" t="inlineStr">
        <is>
          <t>BLEKINGE LÄN</t>
        </is>
      </c>
      <c r="E1095" t="inlineStr">
        <is>
          <t>RONNEBY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45792-2024</t>
        </is>
      </c>
      <c r="B1096" s="1" t="n">
        <v>45579</v>
      </c>
      <c r="C1096" s="1" t="n">
        <v>45589</v>
      </c>
      <c r="D1096" t="inlineStr">
        <is>
          <t>BLEKINGE LÄN</t>
        </is>
      </c>
      <c r="E1096" t="inlineStr">
        <is>
          <t>RONNEBY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45589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45589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47500-2024</t>
        </is>
      </c>
      <c r="B1099" s="1" t="n">
        <v>45587</v>
      </c>
      <c r="C1099" s="1" t="n">
        <v>45589</v>
      </c>
      <c r="D1099" t="inlineStr">
        <is>
          <t>BLEKINGE LÄN</t>
        </is>
      </c>
      <c r="E1099" t="inlineStr">
        <is>
          <t>RONNEBY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47590-2024</t>
        </is>
      </c>
      <c r="B1100" s="1" t="n">
        <v>45587</v>
      </c>
      <c r="C1100" s="1" t="n">
        <v>45589</v>
      </c>
      <c r="D1100" t="inlineStr">
        <is>
          <t>BLEKINGE LÄN</t>
        </is>
      </c>
      <c r="E1100" t="inlineStr">
        <is>
          <t>RONNEBY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47808-2024</t>
        </is>
      </c>
      <c r="B1101" s="1" t="n">
        <v>45588</v>
      </c>
      <c r="C1101" s="1" t="n">
        <v>45589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47781-2024</t>
        </is>
      </c>
      <c r="B1102" s="1" t="n">
        <v>45588</v>
      </c>
      <c r="C1102" s="1" t="n">
        <v>45589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47775-2024</t>
        </is>
      </c>
      <c r="B1103" s="1" t="n">
        <v>45588</v>
      </c>
      <c r="C1103" s="1" t="n">
        <v>45589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47823-2024</t>
        </is>
      </c>
      <c r="B1104" s="1" t="n">
        <v>45588</v>
      </c>
      <c r="C1104" s="1" t="n">
        <v>45589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2024-10-24T13:53:35Z</dcterms:created>
  <dcterms:modified xmlns:dcterms="http://purl.org/dc/terms/" xmlns:xsi="http://www.w3.org/2001/XMLSchema-instance" xsi:type="dcterms:W3CDTF">2024-10-24T13:53:36Z</dcterms:modified>
</cp:coreProperties>
</file>