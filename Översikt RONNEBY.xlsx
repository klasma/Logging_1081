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46266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8</v>
      </c>
      <c r="U7" t="n">
        <v>7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46266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46266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46266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46266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46266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46266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46266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46266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46266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46266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46266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46266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46266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46266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46266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46266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46266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46266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46266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46266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24296-2024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45457</v>
      </c>
      <c r="E31" s="1" t="n">
        <v>46266</v>
      </c>
      <c r="F31" t="inlineStr">
        <is>
          <t>BLEKINGE LÄN</t>
        </is>
      </c>
      <c r="G31" t="inlineStr">
        <is>
          <t>RONNEBY</t>
        </is>
      </c>
      <c r="I31" t="n">
        <v>12.7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HYPERLINK("https://klasma.github.io/Logging_1081/artfynd/A 24296-2024 artfynd.xlsx", "A 24296-2024")</f>
        <v/>
      </c>
      <c r="X31">
        <f>HYPERLINK("https://klasma.github.io/Logging_1081/kartor/A 24296-2024 karta.png", "A 24296-2024")</f>
        <v/>
      </c>
      <c r="Y31">
        <f>HYPERLINK("https://klasma.github.io/Logging_1081/kartor_geotiff/A 24296-2024 georefererad karta.tif", "A 24296-2024")</f>
        <v/>
      </c>
      <c r="AA31">
        <f>HYPERLINK("https://klasma.github.io/Logging_1081/klagomål/A 24296-2024 FSC-klagomål.docx", "A 24296-2024")</f>
        <v/>
      </c>
      <c r="AB31">
        <f>HYPERLINK("https://klasma.github.io/Logging_1081/klagomålsmail/A 24296-2024 FSC-klagomål mail.docx", "A 24296-2024")</f>
        <v/>
      </c>
      <c r="AC31">
        <f>HYPERLINK("https://klasma.github.io/Logging_1081/tillsyn/A 24296-2024 tillsynsbegäran.docx", "A 24296-2024")</f>
        <v/>
      </c>
      <c r="AD31">
        <f>HYPERLINK("https://klasma.github.io/Logging_1081/tillsynsmail/A 24296-2024 tillsynsbegäran mail.docx", "A 24296-2024")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46266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46266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46266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46266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45413-2023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46266</v>
      </c>
      <c r="F36" t="inlineStr">
        <is>
          <t>BLEKINGE LÄN</t>
        </is>
      </c>
      <c r="G36" t="inlineStr">
        <is>
          <t>RONNEBY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HYPERLINK("https://klasma.github.io/Logging_1081/artfynd/A 45413-2023 artfynd.xlsx", "A 45413-2023")</f>
        <v/>
      </c>
      <c r="X36">
        <f>HYPERLINK("https://klasma.github.io/Logging_1081/kartor/A 45413-2023 karta.png", "A 45413-2023")</f>
        <v/>
      </c>
      <c r="Y36">
        <f>HYPERLINK("https://klasma.github.io/Logging_1081/kartor_geotiff/A 45413-2023 georefererad karta.tif", "A 45413-2023")</f>
        <v/>
      </c>
      <c r="AA36">
        <f>HYPERLINK("https://klasma.github.io/Logging_1081/klagomål/A 45413-2023 FSC-klagomål.docx", "A 45413-2023")</f>
        <v/>
      </c>
      <c r="AB36">
        <f>HYPERLINK("https://klasma.github.io/Logging_1081/klagomålsmail/A 45413-2023 FSC-klagomål mail.docx", "A 45413-2023")</f>
        <v/>
      </c>
      <c r="AC36">
        <f>HYPERLINK("https://klasma.github.io/Logging_1081/tillsyn/A 45413-2023 tillsynsbegäran.docx", "A 45413-2023")</f>
        <v/>
      </c>
      <c r="AD36">
        <f>HYPERLINK("https://klasma.github.io/Logging_1081/tillsynsmail/A 45413-2023 tillsynsbegäran mail.docx", "A 45413-2023")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46266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12660-2026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46091</v>
      </c>
      <c r="E38" s="1" t="n">
        <v>46266</v>
      </c>
      <c r="F38" t="inlineStr">
        <is>
          <t>BLEKINGE LÄN</t>
        </is>
      </c>
      <c r="G38" t="inlineStr">
        <is>
          <t>RONNEBY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HYPERLINK("https://klasma.github.io/Logging_1081/artfynd/A 12660-2026 artfynd.xlsx", "A 12660-2026")</f>
        <v/>
      </c>
      <c r="X38">
        <f>HYPERLINK("https://klasma.github.io/Logging_1081/kartor/A 12660-2026 karta.png", "A 12660-2026")</f>
        <v/>
      </c>
      <c r="Y38">
        <f>HYPERLINK("https://klasma.github.io/Logging_1081/kartor_geotiff/A 12660-2026 georefererad karta.tif", "A 12660-2026")</f>
        <v/>
      </c>
      <c r="AA38">
        <f>HYPERLINK("https://klasma.github.io/Logging_1081/klagomål/A 12660-2026 FSC-klagomål.docx", "A 12660-2026")</f>
        <v/>
      </c>
      <c r="AB38">
        <f>HYPERLINK("https://klasma.github.io/Logging_1081/klagomålsmail/A 12660-2026 FSC-klagomål mail.docx", "A 12660-2026")</f>
        <v/>
      </c>
      <c r="AC38">
        <f>HYPERLINK("https://klasma.github.io/Logging_1081/tillsyn/A 12660-2026 tillsynsbegäran.docx", "A 12660-2026")</f>
        <v/>
      </c>
      <c r="AD38">
        <f>HYPERLINK("https://klasma.github.io/Logging_1081/tillsynsmail/A 12660-2026 tillsynsbegäran mail.docx", "A 12660-2026")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46266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46266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46266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46266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46266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25104-2026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46175</v>
      </c>
      <c r="E44" s="1" t="n">
        <v>46266</v>
      </c>
      <c r="F44" t="inlineStr">
        <is>
          <t>BLEKINGE LÄN</t>
        </is>
      </c>
      <c r="G44" t="inlineStr">
        <is>
          <t>RONNEBY</t>
        </is>
      </c>
      <c r="I44" t="n">
        <v>1.1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Backsippa</t>
        </is>
      </c>
      <c r="W44">
        <f>HYPERLINK("https://klasma.github.io/Logging_1081/artfynd/A 25104-2026 artfynd.xlsx", "A 25104-2026")</f>
        <v/>
      </c>
      <c r="X44">
        <f>HYPERLINK("https://klasma.github.io/Logging_1081/kartor/A 25104-2026 karta.png", "A 25104-2026")</f>
        <v/>
      </c>
      <c r="Y44">
        <f>HYPERLINK("https://klasma.github.io/Logging_1081/kartor_geotiff/A 25104-2026 georefererad karta.tif", "A 25104-2026")</f>
        <v/>
      </c>
      <c r="AA44">
        <f>HYPERLINK("https://klasma.github.io/Logging_1081/klagomål/A 25104-2026 FSC-klagomål.docx", "A 25104-2026")</f>
        <v/>
      </c>
      <c r="AB44">
        <f>HYPERLINK("https://klasma.github.io/Logging_1081/klagomålsmail/A 25104-2026 FSC-klagomål mail.docx", "A 25104-2026")</f>
        <v/>
      </c>
      <c r="AC44">
        <f>HYPERLINK("https://klasma.github.io/Logging_1081/tillsyn/A 25104-2026 tillsynsbegäran.docx", "A 25104-2026")</f>
        <v/>
      </c>
      <c r="AD44">
        <f>HYPERLINK("https://klasma.github.io/Logging_1081/tillsynsmail/A 25104-2026 tillsynsbegäran mail.docx", "A 25104-2026")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46266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Havstulpanlav</t>
        </is>
      </c>
      <c r="W45">
        <f>HYPERLINK("https://klasma.github.io/Logging_1081/artfynd/A 26288-2026 artfynd.xlsx", "A 26288-2026")</f>
        <v/>
      </c>
      <c r="X45">
        <f>HYPERLINK("https://klasma.github.io/Logging_1081/kartor/A 26288-2026 karta.png", "A 26288-2026")</f>
        <v/>
      </c>
      <c r="Y45">
        <f>HYPERLINK("https://klasma.github.io/Logging_1081/kartor_geotiff/A 26288-2026 georefererad karta.tif", "A 26288-2026")</f>
        <v/>
      </c>
      <c r="AA45">
        <f>HYPERLINK("https://klasma.github.io/Logging_1081/klagomål/A 26288-2026 FSC-klagomål.docx", "A 26288-2026")</f>
        <v/>
      </c>
      <c r="AB45">
        <f>HYPERLINK("https://klasma.github.io/Logging_1081/klagomålsmail/A 26288-2026 FSC-klagomål mail.docx", "A 26288-2026")</f>
        <v/>
      </c>
      <c r="AC45">
        <f>HYPERLINK("https://klasma.github.io/Logging_1081/tillsyn/A 26288-2026 tillsynsbegäran.docx", "A 26288-2026")</f>
        <v/>
      </c>
      <c r="AD45">
        <f>HYPERLINK("https://klasma.github.io/Logging_1081/tillsynsmail/A 26288-2026 tillsynsbegäran mail.docx", "A 26288-2026")</f>
        <v/>
      </c>
    </row>
    <row r="46" ht="15" customHeight="1">
      <c r="A46" t="inlineStr">
        <is>
          <t>A 21446-2023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46266</v>
      </c>
      <c r="F46" t="inlineStr">
        <is>
          <t>BLEKINGE LÄN</t>
        </is>
      </c>
      <c r="G46" t="inlineStr">
        <is>
          <t>RONNEBY</t>
        </is>
      </c>
      <c r="H46" t="inlineStr">
        <is>
          <t>Kommuner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HYPERLINK("https://klasma.github.io/Logging_1081/artfynd/A 21446-2023 artfynd.xlsx", "A 21446-2023")</f>
        <v/>
      </c>
      <c r="X46">
        <f>HYPERLINK("https://klasma.github.io/Logging_1081/kartor/A 21446-2023 karta.png", "A 21446-2023")</f>
        <v/>
      </c>
      <c r="Y46">
        <f>HYPERLINK("https://klasma.github.io/Logging_1081/kartor_geotiff/A 21446-2023 georefererad karta.tif", "A 21446-2023")</f>
        <v/>
      </c>
      <c r="AA46">
        <f>HYPERLINK("https://klasma.github.io/Logging_1081/klagomål/A 21446-2023 FSC-klagomål.docx", "A 21446-2023")</f>
        <v/>
      </c>
      <c r="AB46">
        <f>HYPERLINK("https://klasma.github.io/Logging_1081/klagomålsmail/A 21446-2023 FSC-klagomål mail.docx", "A 21446-2023")</f>
        <v/>
      </c>
      <c r="AC46">
        <f>HYPERLINK("https://klasma.github.io/Logging_1081/tillsyn/A 21446-2023 tillsynsbegäran.docx", "A 21446-2023")</f>
        <v/>
      </c>
      <c r="AD46">
        <f>HYPERLINK("https://klasma.github.io/Logging_1081/tillsynsmail/A 21446-2023 tillsynsbegäran mail.docx", "A 21446-2023")</f>
        <v/>
      </c>
    </row>
    <row r="47" ht="15" customHeight="1">
      <c r="A47" t="inlineStr">
        <is>
          <t>A 26114-2026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46266</v>
      </c>
      <c r="F47" t="inlineStr">
        <is>
          <t>BLEKINGE LÄN</t>
        </is>
      </c>
      <c r="G47" t="inlineStr">
        <is>
          <t>RONNEBY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HYPERLINK("https://klasma.github.io/Logging_1081/artfynd/A 26114-2026 artfynd.xlsx", "A 26114-2026")</f>
        <v/>
      </c>
      <c r="X47">
        <f>HYPERLINK("https://klasma.github.io/Logging_1081/kartor/A 26114-2026 karta.png", "A 26114-2026")</f>
        <v/>
      </c>
      <c r="Y47">
        <f>HYPERLINK("https://klasma.github.io/Logging_1081/kartor_geotiff/A 26114-2026 georefererad karta.tif", "A 26114-2026")</f>
        <v/>
      </c>
      <c r="AA47">
        <f>HYPERLINK("https://klasma.github.io/Logging_1081/klagomål/A 26114-2026 FSC-klagomål.docx", "A 26114-2026")</f>
        <v/>
      </c>
      <c r="AB47">
        <f>HYPERLINK("https://klasma.github.io/Logging_1081/klagomålsmail/A 26114-2026 FSC-klagomål mail.docx", "A 26114-2026")</f>
        <v/>
      </c>
      <c r="AC47">
        <f>HYPERLINK("https://klasma.github.io/Logging_1081/tillsyn/A 26114-2026 tillsynsbegäran.docx", "A 26114-2026")</f>
        <v/>
      </c>
      <c r="AD47">
        <f>HYPERLINK("https://klasma.github.io/Logging_1081/tillsynsmail/A 26114-2026 tillsynsbegäran mail.docx", "A 26114-2026")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46266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33929-2026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46252</v>
      </c>
      <c r="E49" s="1" t="n">
        <v>46266</v>
      </c>
      <c r="F49" t="inlineStr">
        <is>
          <t>BLEKINGE LÄN</t>
        </is>
      </c>
      <c r="G49" t="inlineStr">
        <is>
          <t>RONNEBY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HYPERLINK("https://klasma.github.io/Logging_1081/artfynd/A 33929-2026 artfynd.xlsx", "A 33929-2026")</f>
        <v/>
      </c>
      <c r="X49">
        <f>HYPERLINK("https://klasma.github.io/Logging_1081/kartor/A 33929-2026 karta.png", "A 33929-2026")</f>
        <v/>
      </c>
      <c r="Y49">
        <f>HYPERLINK("https://klasma.github.io/Logging_1081/kartor_geotiff/A 33929-2026 georefererad karta.tif", "A 33929-2026")</f>
        <v/>
      </c>
      <c r="AA49">
        <f>HYPERLINK("https://klasma.github.io/Logging_1081/klagomål/A 33929-2026 FSC-klagomål.docx", "A 33929-2026")</f>
        <v/>
      </c>
      <c r="AB49">
        <f>HYPERLINK("https://klasma.github.io/Logging_1081/klagomålsmail/A 33929-2026 FSC-klagomål mail.docx", "A 33929-2026")</f>
        <v/>
      </c>
      <c r="AC49">
        <f>HYPERLINK("https://klasma.github.io/Logging_1081/tillsyn/A 33929-2026 tillsynsbegäran.docx", "A 33929-2026")</f>
        <v/>
      </c>
      <c r="AD49">
        <f>HYPERLINK("https://klasma.github.io/Logging_1081/tillsynsmail/A 33929-2026 tillsynsbegäran mail.docx", "A 33929-2026")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46266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46266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46266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46266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46266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46266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46266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46266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46266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46266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46266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46266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46266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46266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46266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46266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46266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46266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46266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46266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46266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46266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46266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46266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46266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46266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46266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46266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46266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46266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46266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46266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46266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46266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46266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46266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46266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46266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46266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46266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46266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46266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46266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46266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46266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46266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46266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46266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46266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46266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46266</v>
      </c>
      <c r="F102" t="inlineStr">
        <is>
          <t>BLEKINGE LÄN</t>
        </is>
      </c>
      <c r="G102" t="inlineStr">
        <is>
          <t>RONNEBY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46266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46266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46266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46266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46266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46266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46266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46266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46266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46266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46266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46266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46266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46266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46266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46266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46266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46266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46266</v>
      </c>
      <c r="F121" t="inlineStr">
        <is>
          <t>BLEKINGE LÄN</t>
        </is>
      </c>
      <c r="G121" t="inlineStr">
        <is>
          <t>RONNEBY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46266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46266</v>
      </c>
      <c r="F123" t="inlineStr">
        <is>
          <t>BLEKINGE LÄN</t>
        </is>
      </c>
      <c r="G123" t="inlineStr">
        <is>
          <t>RONNEBY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46266</v>
      </c>
      <c r="F124" t="inlineStr">
        <is>
          <t>BLEKINGE LÄN</t>
        </is>
      </c>
      <c r="G124" t="inlineStr">
        <is>
          <t>RONNEBY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46266</v>
      </c>
      <c r="F125" t="inlineStr">
        <is>
          <t>BLEKINGE LÄN</t>
        </is>
      </c>
      <c r="G125" t="inlineStr">
        <is>
          <t>RONNEBY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46266</v>
      </c>
      <c r="F126" t="inlineStr">
        <is>
          <t>BLEKINGE LÄN</t>
        </is>
      </c>
      <c r="G126" t="inlineStr">
        <is>
          <t>RONNEBY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46266</v>
      </c>
      <c r="F127" t="inlineStr">
        <is>
          <t>BLEKINGE LÄN</t>
        </is>
      </c>
      <c r="G127" t="inlineStr">
        <is>
          <t>RONNEBY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45104</v>
      </c>
      <c r="E128" s="1" t="n">
        <v>46266</v>
      </c>
      <c r="F128" t="inlineStr">
        <is>
          <t>BLEKINGE LÄN</t>
        </is>
      </c>
      <c r="G128" t="inlineStr">
        <is>
          <t>RONNEBY</t>
        </is>
      </c>
      <c r="H128" t="inlineStr">
        <is>
          <t>Övriga Aktiebolag</t>
        </is>
      </c>
      <c r="I128" t="n">
        <v>10.9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46266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45574</v>
      </c>
      <c r="E130" s="1" t="n">
        <v>46266</v>
      </c>
      <c r="F130" t="inlineStr">
        <is>
          <t>BLEKINGE LÄN</t>
        </is>
      </c>
      <c r="G130" t="inlineStr">
        <is>
          <t>RONNEBY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46266</v>
      </c>
      <c r="F131" t="inlineStr">
        <is>
          <t>BLEKINGE LÄN</t>
        </is>
      </c>
      <c r="G131" t="inlineStr">
        <is>
          <t>RONNEBY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46266</v>
      </c>
      <c r="F132" t="inlineStr">
        <is>
          <t>BLEKINGE LÄN</t>
        </is>
      </c>
      <c r="G132" t="inlineStr">
        <is>
          <t>RONNEBY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46266</v>
      </c>
      <c r="F133" t="inlineStr">
        <is>
          <t>BLEKINGE LÄN</t>
        </is>
      </c>
      <c r="G133" t="inlineStr">
        <is>
          <t>RONNEBY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46266</v>
      </c>
      <c r="F134" t="inlineStr">
        <is>
          <t>BLEKINGE LÄN</t>
        </is>
      </c>
      <c r="G134" t="inlineStr">
        <is>
          <t>RONNEBY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46266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46266</v>
      </c>
      <c r="F136" t="inlineStr">
        <is>
          <t>BLEKINGE LÄN</t>
        </is>
      </c>
      <c r="G136" t="inlineStr">
        <is>
          <t>RONNEBY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46266</v>
      </c>
      <c r="F137" t="inlineStr">
        <is>
          <t>BLEKINGE LÄN</t>
        </is>
      </c>
      <c r="G137" t="inlineStr">
        <is>
          <t>RONNEBY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46266</v>
      </c>
      <c r="F138" t="inlineStr">
        <is>
          <t>BLEKINGE LÄN</t>
        </is>
      </c>
      <c r="G138" t="inlineStr">
        <is>
          <t>RONNEBY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46266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46266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45502</v>
      </c>
      <c r="E141" s="1" t="n">
        <v>46266</v>
      </c>
      <c r="F141" t="inlineStr">
        <is>
          <t>BLEKINGE LÄN</t>
        </is>
      </c>
      <c r="G141" t="inlineStr">
        <is>
          <t>RONNEBY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45785</v>
      </c>
      <c r="E142" s="1" t="n">
        <v>46266</v>
      </c>
      <c r="F142" t="inlineStr">
        <is>
          <t>BLEKINGE LÄN</t>
        </is>
      </c>
      <c r="G142" t="inlineStr">
        <is>
          <t>RONNEBY</t>
        </is>
      </c>
      <c r="H142" t="inlineStr">
        <is>
          <t>Övriga Aktiebolag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46266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46266</v>
      </c>
      <c r="F144" t="inlineStr">
        <is>
          <t>BLEKINGE LÄN</t>
        </is>
      </c>
      <c r="G144" t="inlineStr">
        <is>
          <t>RONNEBY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46266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46266</v>
      </c>
      <c r="F146" t="inlineStr">
        <is>
          <t>BLEKINGE LÄN</t>
        </is>
      </c>
      <c r="G146" t="inlineStr">
        <is>
          <t>RONNEBY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46266</v>
      </c>
      <c r="F147" t="inlineStr">
        <is>
          <t>BLEKINGE LÄN</t>
        </is>
      </c>
      <c r="G147" t="inlineStr">
        <is>
          <t>RONNEBY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44987</v>
      </c>
      <c r="E148" s="1" t="n">
        <v>46266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46266</v>
      </c>
      <c r="F149" t="inlineStr">
        <is>
          <t>BLEKINGE LÄN</t>
        </is>
      </c>
      <c r="G149" t="inlineStr">
        <is>
          <t>RONNEBY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46266</v>
      </c>
      <c r="F150" t="inlineStr">
        <is>
          <t>BLEKINGE LÄN</t>
        </is>
      </c>
      <c r="G150" t="inlineStr">
        <is>
          <t>RONNEBY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46266</v>
      </c>
      <c r="F151" t="inlineStr">
        <is>
          <t>BLEKINGE LÄN</t>
        </is>
      </c>
      <c r="G151" t="inlineStr">
        <is>
          <t>RONNEBY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45724</v>
      </c>
      <c r="E152" s="1" t="n">
        <v>46266</v>
      </c>
      <c r="F152" t="inlineStr">
        <is>
          <t>BLEKINGE LÄN</t>
        </is>
      </c>
      <c r="G152" t="inlineStr">
        <is>
          <t>RONNEBY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45579</v>
      </c>
      <c r="E153" s="1" t="n">
        <v>46266</v>
      </c>
      <c r="F153" t="inlineStr">
        <is>
          <t>BLEKINGE LÄN</t>
        </is>
      </c>
      <c r="G153" t="inlineStr">
        <is>
          <t>RONNEBY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46266</v>
      </c>
      <c r="F154" t="inlineStr">
        <is>
          <t>BLEKINGE LÄN</t>
        </is>
      </c>
      <c r="G154" t="inlineStr">
        <is>
          <t>RONNEBY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46266</v>
      </c>
      <c r="F155" t="inlineStr">
        <is>
          <t>BLEKINGE LÄN</t>
        </is>
      </c>
      <c r="G155" t="inlineStr">
        <is>
          <t>RONNEBY</t>
        </is>
      </c>
      <c r="I155" t="n">
        <v>11.2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46266</v>
      </c>
      <c r="F156" t="inlineStr">
        <is>
          <t>BLEKINGE LÄN</t>
        </is>
      </c>
      <c r="G156" t="inlineStr">
        <is>
          <t>RONNEBY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46266</v>
      </c>
      <c r="F157" t="inlineStr">
        <is>
          <t>BLEKINGE LÄN</t>
        </is>
      </c>
      <c r="G157" t="inlineStr">
        <is>
          <t>RONNEBY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46266</v>
      </c>
      <c r="F158" t="inlineStr">
        <is>
          <t>BLEKINGE LÄN</t>
        </is>
      </c>
      <c r="G158" t="inlineStr">
        <is>
          <t>RONNEBY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46266</v>
      </c>
      <c r="F159" t="inlineStr">
        <is>
          <t>BLEKINGE LÄN</t>
        </is>
      </c>
      <c r="G159" t="inlineStr">
        <is>
          <t>RONNEBY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45012</v>
      </c>
      <c r="E160" s="1" t="n">
        <v>46266</v>
      </c>
      <c r="F160" t="inlineStr">
        <is>
          <t>BLEKINGE LÄN</t>
        </is>
      </c>
      <c r="G160" t="inlineStr">
        <is>
          <t>RONNEBY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46266</v>
      </c>
      <c r="F161" t="inlineStr">
        <is>
          <t>BLEKINGE LÄN</t>
        </is>
      </c>
      <c r="G161" t="inlineStr">
        <is>
          <t>RONNEBY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45341</v>
      </c>
      <c r="E162" s="1" t="n">
        <v>46266</v>
      </c>
      <c r="F162" t="inlineStr">
        <is>
          <t>BLEKINGE LÄN</t>
        </is>
      </c>
      <c r="G162" t="inlineStr">
        <is>
          <t>RONNEBY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46266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46266</v>
      </c>
      <c r="F164" t="inlineStr">
        <is>
          <t>BLEKINGE LÄN</t>
        </is>
      </c>
      <c r="G164" t="inlineStr">
        <is>
          <t>RONNEBY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46266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45328</v>
      </c>
      <c r="E166" s="1" t="n">
        <v>46266</v>
      </c>
      <c r="F166" t="inlineStr">
        <is>
          <t>BLEKINGE LÄN</t>
        </is>
      </c>
      <c r="G166" t="inlineStr">
        <is>
          <t>RONNEBY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46266</v>
      </c>
      <c r="F167" t="inlineStr">
        <is>
          <t>BLEKINGE LÄN</t>
        </is>
      </c>
      <c r="G167" t="inlineStr">
        <is>
          <t>RONNEBY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45588</v>
      </c>
      <c r="E168" s="1" t="n">
        <v>46266</v>
      </c>
      <c r="F168" t="inlineStr">
        <is>
          <t>BLEKINGE LÄN</t>
        </is>
      </c>
      <c r="G168" t="inlineStr">
        <is>
          <t>RONNEBY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46266</v>
      </c>
      <c r="F169" t="inlineStr">
        <is>
          <t>BLEKINGE LÄN</t>
        </is>
      </c>
      <c r="G169" t="inlineStr">
        <is>
          <t>RONNEBY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46266</v>
      </c>
      <c r="F170" t="inlineStr">
        <is>
          <t>BLEKINGE LÄN</t>
        </is>
      </c>
      <c r="G170" t="inlineStr">
        <is>
          <t>RONNEBY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46266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46266</v>
      </c>
      <c r="F172" t="inlineStr">
        <is>
          <t>BLEKINGE LÄN</t>
        </is>
      </c>
      <c r="G172" t="inlineStr">
        <is>
          <t>RONNEBY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46266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46266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46266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46266</v>
      </c>
      <c r="F176" t="inlineStr">
        <is>
          <t>BLEKINGE LÄN</t>
        </is>
      </c>
      <c r="G176" t="inlineStr">
        <is>
          <t>RONNEBY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46266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45892</v>
      </c>
      <c r="E178" s="1" t="n">
        <v>46266</v>
      </c>
      <c r="F178" t="inlineStr">
        <is>
          <t>BLEKINGE LÄN</t>
        </is>
      </c>
      <c r="G178" t="inlineStr">
        <is>
          <t>RONNEBY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46266</v>
      </c>
      <c r="F179" t="inlineStr">
        <is>
          <t>BLEKINGE LÄN</t>
        </is>
      </c>
      <c r="G179" t="inlineStr">
        <is>
          <t>RONNEBY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46266</v>
      </c>
      <c r="F180" t="inlineStr">
        <is>
          <t>BLEKINGE LÄN</t>
        </is>
      </c>
      <c r="G180" t="inlineStr">
        <is>
          <t>RONNEBY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45551</v>
      </c>
      <c r="E181" s="1" t="n">
        <v>46266</v>
      </c>
      <c r="F181" t="inlineStr">
        <is>
          <t>BLEKINGE LÄN</t>
        </is>
      </c>
      <c r="G181" t="inlineStr">
        <is>
          <t>RONNEBY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46266</v>
      </c>
      <c r="F182" t="inlineStr">
        <is>
          <t>BLEKINGE LÄN</t>
        </is>
      </c>
      <c r="G182" t="inlineStr">
        <is>
          <t>RONNEBY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46266</v>
      </c>
      <c r="F183" t="inlineStr">
        <is>
          <t>BLEKINGE LÄN</t>
        </is>
      </c>
      <c r="G183" t="inlineStr">
        <is>
          <t>RONNEBY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46266</v>
      </c>
      <c r="F184" t="inlineStr">
        <is>
          <t>BLEKINGE LÄN</t>
        </is>
      </c>
      <c r="G184" t="inlineStr">
        <is>
          <t>RONNEBY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46266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45128</v>
      </c>
      <c r="E186" s="1" t="n">
        <v>46266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46266</v>
      </c>
      <c r="F187" t="inlineStr">
        <is>
          <t>BLEKINGE LÄN</t>
        </is>
      </c>
      <c r="G187" t="inlineStr">
        <is>
          <t>RONNEBY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49939-2024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46266</v>
      </c>
      <c r="F188" t="inlineStr">
        <is>
          <t>BLEKINGE LÄN</t>
        </is>
      </c>
      <c r="G188" t="inlineStr">
        <is>
          <t>RONNEBY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46266</v>
      </c>
      <c r="F189" t="inlineStr">
        <is>
          <t>BLEKINGE LÄN</t>
        </is>
      </c>
      <c r="G189" t="inlineStr">
        <is>
          <t>RONNEBY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46266</v>
      </c>
      <c r="F190" t="inlineStr">
        <is>
          <t>BLEKINGE LÄN</t>
        </is>
      </c>
      <c r="G190" t="inlineStr">
        <is>
          <t>RONNEBY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45363</v>
      </c>
      <c r="E191" s="1" t="n">
        <v>46266</v>
      </c>
      <c r="F191" t="inlineStr">
        <is>
          <t>BLEKINGE LÄN</t>
        </is>
      </c>
      <c r="G191" t="inlineStr">
        <is>
          <t>RONNEBY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46266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46266</v>
      </c>
      <c r="F193" t="inlineStr">
        <is>
          <t>BLEKINGE LÄN</t>
        </is>
      </c>
      <c r="G193" t="inlineStr">
        <is>
          <t>RONNEBY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46266</v>
      </c>
      <c r="F194" t="inlineStr">
        <is>
          <t>BLEKINGE LÄN</t>
        </is>
      </c>
      <c r="G194" t="inlineStr">
        <is>
          <t>RONNEBY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46266</v>
      </c>
      <c r="F195" t="inlineStr">
        <is>
          <t>BLEKINGE LÄN</t>
        </is>
      </c>
      <c r="G195" t="inlineStr">
        <is>
          <t>RONNEBY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45482</v>
      </c>
      <c r="E196" s="1" t="n">
        <v>46266</v>
      </c>
      <c r="F196" t="inlineStr">
        <is>
          <t>BLEKINGE LÄN</t>
        </is>
      </c>
      <c r="G196" t="inlineStr">
        <is>
          <t>RONNEBY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46266</v>
      </c>
      <c r="F197" t="inlineStr">
        <is>
          <t>BLEKINGE LÄN</t>
        </is>
      </c>
      <c r="G197" t="inlineStr">
        <is>
          <t>RONNEBY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45843</v>
      </c>
      <c r="E198" s="1" t="n">
        <v>46266</v>
      </c>
      <c r="F198" t="inlineStr">
        <is>
          <t>BLEKINGE LÄN</t>
        </is>
      </c>
      <c r="G198" t="inlineStr">
        <is>
          <t>RONNEBY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46266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45503</v>
      </c>
      <c r="E200" s="1" t="n">
        <v>46266</v>
      </c>
      <c r="F200" t="inlineStr">
        <is>
          <t>BLEKINGE LÄN</t>
        </is>
      </c>
      <c r="G200" t="inlineStr">
        <is>
          <t>RONNEBY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30197-2024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45490</v>
      </c>
      <c r="E201" s="1" t="n">
        <v>46266</v>
      </c>
      <c r="F201" t="inlineStr">
        <is>
          <t>BLEKINGE LÄN</t>
        </is>
      </c>
      <c r="G201" t="inlineStr">
        <is>
          <t>RONNEBY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46266</v>
      </c>
      <c r="F202" t="inlineStr">
        <is>
          <t>BLEKINGE LÄN</t>
        </is>
      </c>
      <c r="G202" t="inlineStr">
        <is>
          <t>RONNEBY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46266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46266</v>
      </c>
      <c r="F204" t="inlineStr">
        <is>
          <t>BLEKINGE LÄN</t>
        </is>
      </c>
      <c r="G204" t="inlineStr">
        <is>
          <t>RONNEBY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46266</v>
      </c>
      <c r="F205" t="inlineStr">
        <is>
          <t>BLEKINGE LÄN</t>
        </is>
      </c>
      <c r="G205" t="inlineStr">
        <is>
          <t>RONNEBY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46266</v>
      </c>
      <c r="F206" t="inlineStr">
        <is>
          <t>BLEKINGE LÄN</t>
        </is>
      </c>
      <c r="G206" t="inlineStr">
        <is>
          <t>RONNEBY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43291-2025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45910</v>
      </c>
      <c r="E207" s="1" t="n">
        <v>46266</v>
      </c>
      <c r="F207" t="inlineStr">
        <is>
          <t>BLEKINGE LÄN</t>
        </is>
      </c>
      <c r="G207" t="inlineStr">
        <is>
          <t>RONNEBY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46266</v>
      </c>
      <c r="F208" t="inlineStr">
        <is>
          <t>BLEKINGE LÄN</t>
        </is>
      </c>
      <c r="G208" t="inlineStr">
        <is>
          <t>RONNEBY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46266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46266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46266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46266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46266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46266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46266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45061</v>
      </c>
      <c r="E216" s="1" t="n">
        <v>46266</v>
      </c>
      <c r="F216" t="inlineStr">
        <is>
          <t>BLEKINGE LÄN</t>
        </is>
      </c>
      <c r="G216" t="inlineStr">
        <is>
          <t>RONNEBY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46266</v>
      </c>
      <c r="F217" t="inlineStr">
        <is>
          <t>BLEKINGE LÄN</t>
        </is>
      </c>
      <c r="G217" t="inlineStr">
        <is>
          <t>RONNEBY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46266</v>
      </c>
      <c r="F218" t="inlineStr">
        <is>
          <t>BLEKINGE LÄN</t>
        </is>
      </c>
      <c r="G218" t="inlineStr">
        <is>
          <t>RONNEBY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46266</v>
      </c>
      <c r="F219" t="inlineStr">
        <is>
          <t>BLEKINGE LÄN</t>
        </is>
      </c>
      <c r="G219" t="inlineStr">
        <is>
          <t>RONNEBY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46266</v>
      </c>
      <c r="F220" t="inlineStr">
        <is>
          <t>BLEKINGE LÄN</t>
        </is>
      </c>
      <c r="G220" t="inlineStr">
        <is>
          <t>RONNEBY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46266</v>
      </c>
      <c r="F221" t="inlineStr">
        <is>
          <t>BLEKINGE LÄN</t>
        </is>
      </c>
      <c r="G221" t="inlineStr">
        <is>
          <t>RONNEBY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46266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46266</v>
      </c>
      <c r="F223" t="inlineStr">
        <is>
          <t>BLEKINGE LÄN</t>
        </is>
      </c>
      <c r="G223" t="inlineStr">
        <is>
          <t>RONNEBY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45115</v>
      </c>
      <c r="E224" s="1" t="n">
        <v>46266</v>
      </c>
      <c r="F224" t="inlineStr">
        <is>
          <t>BLEKINGE LÄN</t>
        </is>
      </c>
      <c r="G224" t="inlineStr">
        <is>
          <t>RONNEBY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46266</v>
      </c>
      <c r="F225" t="inlineStr">
        <is>
          <t>BLEKINGE LÄN</t>
        </is>
      </c>
      <c r="G225" t="inlineStr">
        <is>
          <t>RONNEBY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46266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45706</v>
      </c>
      <c r="E227" s="1" t="n">
        <v>46266</v>
      </c>
      <c r="F227" t="inlineStr">
        <is>
          <t>BLEKINGE LÄN</t>
        </is>
      </c>
      <c r="G227" t="inlineStr">
        <is>
          <t>RONNEBY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59676-2022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46266</v>
      </c>
      <c r="F228" t="inlineStr">
        <is>
          <t>BLEKINGE LÄN</t>
        </is>
      </c>
      <c r="G228" t="inlineStr">
        <is>
          <t>RONNEBY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45413</v>
      </c>
      <c r="E229" s="1" t="n">
        <v>46266</v>
      </c>
      <c r="F229" t="inlineStr">
        <is>
          <t>BLEKINGE LÄN</t>
        </is>
      </c>
      <c r="G229" t="inlineStr">
        <is>
          <t>RONNEBY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46266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46266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46266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statliga verk och myndigheter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46266</v>
      </c>
      <c r="F233" t="inlineStr">
        <is>
          <t>BLEKINGE LÄN</t>
        </is>
      </c>
      <c r="G233" t="inlineStr">
        <is>
          <t>RONNEBY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46266</v>
      </c>
      <c r="F234" t="inlineStr">
        <is>
          <t>BLEKINGE LÄN</t>
        </is>
      </c>
      <c r="G234" t="inlineStr">
        <is>
          <t>RONNEBY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46266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46266</v>
      </c>
      <c r="F236" t="inlineStr">
        <is>
          <t>BLEKINGE LÄN</t>
        </is>
      </c>
      <c r="G236" t="inlineStr">
        <is>
          <t>RONNEBY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46266</v>
      </c>
      <c r="F237" t="inlineStr">
        <is>
          <t>BLEKINGE LÄN</t>
        </is>
      </c>
      <c r="G237" t="inlineStr">
        <is>
          <t>RONNEBY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44880</v>
      </c>
      <c r="E238" s="1" t="n">
        <v>46266</v>
      </c>
      <c r="F238" t="inlineStr">
        <is>
          <t>BLEKINGE LÄN</t>
        </is>
      </c>
      <c r="G238" t="inlineStr">
        <is>
          <t>RONNEBY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46266</v>
      </c>
      <c r="F239" t="inlineStr">
        <is>
          <t>BLEKINGE LÄN</t>
        </is>
      </c>
      <c r="G239" t="inlineStr">
        <is>
          <t>RONNEBY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46266</v>
      </c>
      <c r="F240" t="inlineStr">
        <is>
          <t>BLEKINGE LÄN</t>
        </is>
      </c>
      <c r="G240" t="inlineStr">
        <is>
          <t>RONNEBY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46266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46266</v>
      </c>
      <c r="F242" t="inlineStr">
        <is>
          <t>BLEKINGE LÄN</t>
        </is>
      </c>
      <c r="G242" t="inlineStr">
        <is>
          <t>RONNEBY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46266</v>
      </c>
      <c r="F243" t="inlineStr">
        <is>
          <t>BLEKINGE LÄN</t>
        </is>
      </c>
      <c r="G243" t="inlineStr">
        <is>
          <t>RONNEBY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44822</v>
      </c>
      <c r="E244" s="1" t="n">
        <v>46266</v>
      </c>
      <c r="F244" t="inlineStr">
        <is>
          <t>BLEKINGE LÄN</t>
        </is>
      </c>
      <c r="G244" t="inlineStr">
        <is>
          <t>RONNEBY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46266</v>
      </c>
      <c r="F245" t="inlineStr">
        <is>
          <t>BLEKINGE LÄN</t>
        </is>
      </c>
      <c r="G245" t="inlineStr">
        <is>
          <t>RONNEBY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46266</v>
      </c>
      <c r="F246" t="inlineStr">
        <is>
          <t>BLEKINGE LÄN</t>
        </is>
      </c>
      <c r="G246" t="inlineStr">
        <is>
          <t>RONNEBY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46266</v>
      </c>
      <c r="F247" t="inlineStr">
        <is>
          <t>BLEKINGE LÄN</t>
        </is>
      </c>
      <c r="G247" t="inlineStr">
        <is>
          <t>RONNEBY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46266</v>
      </c>
      <c r="F248" t="inlineStr">
        <is>
          <t>BLEKINGE LÄN</t>
        </is>
      </c>
      <c r="G248" t="inlineStr">
        <is>
          <t>RONNEBY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46266</v>
      </c>
      <c r="F249" t="inlineStr">
        <is>
          <t>BLEKINGE LÄN</t>
        </is>
      </c>
      <c r="G249" t="inlineStr">
        <is>
          <t>RONNEBY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46266</v>
      </c>
      <c r="F250" t="inlineStr">
        <is>
          <t>BLEKINGE LÄN</t>
        </is>
      </c>
      <c r="G250" t="inlineStr">
        <is>
          <t>RONNEBY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46266</v>
      </c>
      <c r="F251" t="inlineStr">
        <is>
          <t>BLEKINGE LÄN</t>
        </is>
      </c>
      <c r="G251" t="inlineStr">
        <is>
          <t>RONNEBY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45856</v>
      </c>
      <c r="E252" s="1" t="n">
        <v>46266</v>
      </c>
      <c r="F252" t="inlineStr">
        <is>
          <t>BLEKINGE LÄN</t>
        </is>
      </c>
      <c r="G252" t="inlineStr">
        <is>
          <t>RONNEBY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46266</v>
      </c>
      <c r="F253" t="inlineStr">
        <is>
          <t>BLEKINGE LÄN</t>
        </is>
      </c>
      <c r="G253" t="inlineStr">
        <is>
          <t>RONNEBY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46266</v>
      </c>
      <c r="F254" t="inlineStr">
        <is>
          <t>BLEKINGE LÄN</t>
        </is>
      </c>
      <c r="G254" t="inlineStr">
        <is>
          <t>RONNEBY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46266</v>
      </c>
      <c r="F255" t="inlineStr">
        <is>
          <t>BLEKINGE LÄN</t>
        </is>
      </c>
      <c r="G255" t="inlineStr">
        <is>
          <t>RONNEBY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44754</v>
      </c>
      <c r="E256" s="1" t="n">
        <v>46266</v>
      </c>
      <c r="F256" t="inlineStr">
        <is>
          <t>BLEKINGE LÄN</t>
        </is>
      </c>
      <c r="G256" t="inlineStr">
        <is>
          <t>RONNEBY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45169</v>
      </c>
      <c r="E257" s="1" t="n">
        <v>46266</v>
      </c>
      <c r="F257" t="inlineStr">
        <is>
          <t>BLEKINGE LÄN</t>
        </is>
      </c>
      <c r="G257" t="inlineStr">
        <is>
          <t>RONNEBY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54856-2022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44884</v>
      </c>
      <c r="E258" s="1" t="n">
        <v>46266</v>
      </c>
      <c r="F258" t="inlineStr">
        <is>
          <t>BLEKINGE LÄN</t>
        </is>
      </c>
      <c r="G258" t="inlineStr">
        <is>
          <t>RONNEBY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45653</v>
      </c>
      <c r="E259" s="1" t="n">
        <v>46266</v>
      </c>
      <c r="F259" t="inlineStr">
        <is>
          <t>BLEKINGE LÄN</t>
        </is>
      </c>
      <c r="G259" t="inlineStr">
        <is>
          <t>RONNEBY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45043</v>
      </c>
      <c r="E260" s="1" t="n">
        <v>46266</v>
      </c>
      <c r="F260" t="inlineStr">
        <is>
          <t>BLEKINGE LÄN</t>
        </is>
      </c>
      <c r="G260" t="inlineStr">
        <is>
          <t>RONNEBY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45402</v>
      </c>
      <c r="E261" s="1" t="n">
        <v>46266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46266</v>
      </c>
      <c r="F262" t="inlineStr">
        <is>
          <t>BLEKINGE LÄN</t>
        </is>
      </c>
      <c r="G262" t="inlineStr">
        <is>
          <t>RONNEBY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46266</v>
      </c>
      <c r="F263" t="inlineStr">
        <is>
          <t>BLEKINGE LÄN</t>
        </is>
      </c>
      <c r="G263" t="inlineStr">
        <is>
          <t>RONNEBY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46266</v>
      </c>
      <c r="F264" t="inlineStr">
        <is>
          <t>BLEKINGE LÄN</t>
        </is>
      </c>
      <c r="G264" t="inlineStr">
        <is>
          <t>RONNEBY</t>
        </is>
      </c>
      <c r="I264" t="n">
        <v>14.4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46266</v>
      </c>
      <c r="F265" t="inlineStr">
        <is>
          <t>BLEKINGE LÄN</t>
        </is>
      </c>
      <c r="G265" t="inlineStr">
        <is>
          <t>RONNEBY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46266</v>
      </c>
      <c r="F266" t="inlineStr">
        <is>
          <t>BLEKINGE LÄN</t>
        </is>
      </c>
      <c r="G266" t="inlineStr">
        <is>
          <t>RONNEBY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46266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45118</v>
      </c>
      <c r="E268" s="1" t="n">
        <v>46266</v>
      </c>
      <c r="F268" t="inlineStr">
        <is>
          <t>BLEKINGE LÄN</t>
        </is>
      </c>
      <c r="G268" t="inlineStr">
        <is>
          <t>RONNEBY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46266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46266</v>
      </c>
      <c r="F270" t="inlineStr">
        <is>
          <t>BLEKINGE LÄN</t>
        </is>
      </c>
      <c r="G270" t="inlineStr">
        <is>
          <t>RONNEBY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45192</v>
      </c>
      <c r="E271" s="1" t="n">
        <v>46266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46266</v>
      </c>
      <c r="F272" t="inlineStr">
        <is>
          <t>BLEKINGE LÄN</t>
        </is>
      </c>
      <c r="G272" t="inlineStr">
        <is>
          <t>RONNEBY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56139-2025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46266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46266</v>
      </c>
      <c r="F274" t="inlineStr">
        <is>
          <t>BLEKINGE LÄN</t>
        </is>
      </c>
      <c r="G274" t="inlineStr">
        <is>
          <t>RONNEBY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46266</v>
      </c>
      <c r="F275" t="inlineStr">
        <is>
          <t>BLEKINGE LÄN</t>
        </is>
      </c>
      <c r="G275" t="inlineStr">
        <is>
          <t>RONNEBY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46266</v>
      </c>
      <c r="F276" t="inlineStr">
        <is>
          <t>BLEKINGE LÄN</t>
        </is>
      </c>
      <c r="G276" t="inlineStr">
        <is>
          <t>RONNEBY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46266</v>
      </c>
      <c r="F277" t="inlineStr">
        <is>
          <t>BLEKINGE LÄN</t>
        </is>
      </c>
      <c r="G277" t="inlineStr">
        <is>
          <t>RONNEBY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46266</v>
      </c>
      <c r="F278" t="inlineStr">
        <is>
          <t>BLEKINGE LÄN</t>
        </is>
      </c>
      <c r="G278" t="inlineStr">
        <is>
          <t>RONNEBY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45360</v>
      </c>
      <c r="E279" s="1" t="n">
        <v>46266</v>
      </c>
      <c r="F279" t="inlineStr">
        <is>
          <t>BLEKINGE LÄN</t>
        </is>
      </c>
      <c r="G279" t="inlineStr">
        <is>
          <t>RONNEBY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46266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46266</v>
      </c>
      <c r="F281" t="inlineStr">
        <is>
          <t>BLEKINGE LÄN</t>
        </is>
      </c>
      <c r="G281" t="inlineStr">
        <is>
          <t>RONNEBY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46266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46266</v>
      </c>
      <c r="F283" t="inlineStr">
        <is>
          <t>BLEKINGE LÄN</t>
        </is>
      </c>
      <c r="G283" t="inlineStr">
        <is>
          <t>RONNEBY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58648-2025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45986</v>
      </c>
      <c r="E284" s="1" t="n">
        <v>46266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46266</v>
      </c>
      <c r="F285" t="inlineStr">
        <is>
          <t>BLEKINGE LÄN</t>
        </is>
      </c>
      <c r="G285" t="inlineStr">
        <is>
          <t>RONNEBY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46266</v>
      </c>
      <c r="F286" t="inlineStr">
        <is>
          <t>BLEKINGE LÄN</t>
        </is>
      </c>
      <c r="G286" t="inlineStr">
        <is>
          <t>RONNEBY</t>
        </is>
      </c>
      <c r="I286" t="n">
        <v>14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46266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46266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46266</v>
      </c>
      <c r="F289" t="inlineStr">
        <is>
          <t>BLEKINGE LÄN</t>
        </is>
      </c>
      <c r="G289" t="inlineStr">
        <is>
          <t>RONNEBY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46266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46266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46266</v>
      </c>
      <c r="F292" t="inlineStr">
        <is>
          <t>BLEKINGE LÄN</t>
        </is>
      </c>
      <c r="G292" t="inlineStr">
        <is>
          <t>RONNEBY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45104</v>
      </c>
      <c r="E293" s="1" t="n">
        <v>46266</v>
      </c>
      <c r="F293" t="inlineStr">
        <is>
          <t>BLEKINGE LÄN</t>
        </is>
      </c>
      <c r="G293" t="inlineStr">
        <is>
          <t>RONNEBY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46266</v>
      </c>
      <c r="F294" t="inlineStr">
        <is>
          <t>BLEKINGE LÄN</t>
        </is>
      </c>
      <c r="G294" t="inlineStr">
        <is>
          <t>RONNEBY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45111</v>
      </c>
      <c r="E295" s="1" t="n">
        <v>46266</v>
      </c>
      <c r="F295" t="inlineStr">
        <is>
          <t>BLEKINGE LÄN</t>
        </is>
      </c>
      <c r="G295" t="inlineStr">
        <is>
          <t>RONNEBY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46542-2022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44848</v>
      </c>
      <c r="E296" s="1" t="n">
        <v>46266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62278-2022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44916</v>
      </c>
      <c r="E297" s="1" t="n">
        <v>46266</v>
      </c>
      <c r="F297" t="inlineStr">
        <is>
          <t>BLEKINGE LÄN</t>
        </is>
      </c>
      <c r="G297" t="inlineStr">
        <is>
          <t>RONNEBY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45387</v>
      </c>
      <c r="E298" s="1" t="n">
        <v>46266</v>
      </c>
      <c r="F298" t="inlineStr">
        <is>
          <t>BLEKINGE LÄN</t>
        </is>
      </c>
      <c r="G298" t="inlineStr">
        <is>
          <t>RONNEBY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46266</v>
      </c>
      <c r="F299" t="inlineStr">
        <is>
          <t>BLEKINGE LÄN</t>
        </is>
      </c>
      <c r="G299" t="inlineStr">
        <is>
          <t>RONNEBY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62465-2025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46007</v>
      </c>
      <c r="E300" s="1" t="n">
        <v>46266</v>
      </c>
      <c r="F300" t="inlineStr">
        <is>
          <t>BLEKINGE LÄN</t>
        </is>
      </c>
      <c r="G300" t="inlineStr">
        <is>
          <t>RONNEBY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45505</v>
      </c>
      <c r="E301" s="1" t="n">
        <v>46266</v>
      </c>
      <c r="F301" t="inlineStr">
        <is>
          <t>BLEKINGE LÄN</t>
        </is>
      </c>
      <c r="G301" t="inlineStr">
        <is>
          <t>RONNEBY</t>
        </is>
      </c>
      <c r="H301" t="inlineStr">
        <is>
          <t>Kommuner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46266</v>
      </c>
      <c r="F302" t="inlineStr">
        <is>
          <t>BLEKINGE LÄN</t>
        </is>
      </c>
      <c r="G302" t="inlineStr">
        <is>
          <t>RONNEBY</t>
        </is>
      </c>
      <c r="H302" t="inlineStr">
        <is>
          <t>Övriga Aktiebolag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54065-2024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45616</v>
      </c>
      <c r="E303" s="1" t="n">
        <v>46266</v>
      </c>
      <c r="F303" t="inlineStr">
        <is>
          <t>BLEKINGE LÄN</t>
        </is>
      </c>
      <c r="G303" t="inlineStr">
        <is>
          <t>RONNEBY</t>
        </is>
      </c>
      <c r="H303" t="inlineStr">
        <is>
          <t>Kommuner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45053</v>
      </c>
      <c r="E304" s="1" t="n">
        <v>46266</v>
      </c>
      <c r="F304" t="inlineStr">
        <is>
          <t>BLEKINGE LÄN</t>
        </is>
      </c>
      <c r="G304" t="inlineStr">
        <is>
          <t>RONNEBY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19438-2024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46266</v>
      </c>
      <c r="F305" t="inlineStr">
        <is>
          <t>BLEKINGE LÄN</t>
        </is>
      </c>
      <c r="G305" t="inlineStr">
        <is>
          <t>RONNEBY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46266</v>
      </c>
      <c r="F306" t="inlineStr">
        <is>
          <t>BLEKINGE LÄN</t>
        </is>
      </c>
      <c r="G306" t="inlineStr">
        <is>
          <t>RONNEBY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46266</v>
      </c>
      <c r="F307" t="inlineStr">
        <is>
          <t>BLEKINGE LÄN</t>
        </is>
      </c>
      <c r="G307" t="inlineStr">
        <is>
          <t>RONNEBY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45630</v>
      </c>
      <c r="E308" s="1" t="n">
        <v>46266</v>
      </c>
      <c r="F308" t="inlineStr">
        <is>
          <t>BLEKINGE LÄN</t>
        </is>
      </c>
      <c r="G308" t="inlineStr">
        <is>
          <t>RONNEBY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45630</v>
      </c>
      <c r="E309" s="1" t="n">
        <v>46266</v>
      </c>
      <c r="F309" t="inlineStr">
        <is>
          <t>BLEKINGE LÄN</t>
        </is>
      </c>
      <c r="G309" t="inlineStr">
        <is>
          <t>RONNEBY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44944</v>
      </c>
      <c r="E310" s="1" t="n">
        <v>46266</v>
      </c>
      <c r="F310" t="inlineStr">
        <is>
          <t>BLEKINGE LÄN</t>
        </is>
      </c>
      <c r="G310" t="inlineStr">
        <is>
          <t>RONNEBY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45019</v>
      </c>
      <c r="E311" s="1" t="n">
        <v>46266</v>
      </c>
      <c r="F311" t="inlineStr">
        <is>
          <t>BLEKINGE LÄN</t>
        </is>
      </c>
      <c r="G311" t="inlineStr">
        <is>
          <t>RONNEBY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23888-2022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46266</v>
      </c>
      <c r="F312" t="inlineStr">
        <is>
          <t>BLEKINGE LÄN</t>
        </is>
      </c>
      <c r="G312" t="inlineStr">
        <is>
          <t>RONNEBY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44756</v>
      </c>
      <c r="E313" s="1" t="n">
        <v>46266</v>
      </c>
      <c r="F313" t="inlineStr">
        <is>
          <t>BLEKINGE LÄN</t>
        </is>
      </c>
      <c r="G313" t="inlineStr">
        <is>
          <t>RONNEBY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45085</v>
      </c>
      <c r="E314" s="1" t="n">
        <v>46266</v>
      </c>
      <c r="F314" t="inlineStr">
        <is>
          <t>BLEKINGE LÄN</t>
        </is>
      </c>
      <c r="G314" t="inlineStr">
        <is>
          <t>RONNEBY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46266</v>
      </c>
      <c r="F315" t="inlineStr">
        <is>
          <t>BLEKINGE LÄN</t>
        </is>
      </c>
      <c r="G315" t="inlineStr">
        <is>
          <t>RONNEBY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45462</v>
      </c>
      <c r="E316" s="1" t="n">
        <v>46266</v>
      </c>
      <c r="F316" t="inlineStr">
        <is>
          <t>BLEKINGE LÄN</t>
        </is>
      </c>
      <c r="G316" t="inlineStr">
        <is>
          <t>RONNEBY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46266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45272</v>
      </c>
      <c r="E318" s="1" t="n">
        <v>46266</v>
      </c>
      <c r="F318" t="inlineStr">
        <is>
          <t>BLEKINGE LÄN</t>
        </is>
      </c>
      <c r="G318" t="inlineStr">
        <is>
          <t>RONNEBY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46266</v>
      </c>
      <c r="F319" t="inlineStr">
        <is>
          <t>BLEKINGE LÄN</t>
        </is>
      </c>
      <c r="G319" t="inlineStr">
        <is>
          <t>RONNEBY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45432</v>
      </c>
      <c r="E320" s="1" t="n">
        <v>46266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46266</v>
      </c>
      <c r="F321" t="inlineStr">
        <is>
          <t>BLEKINGE LÄN</t>
        </is>
      </c>
      <c r="G321" t="inlineStr">
        <is>
          <t>RONNEBY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46266</v>
      </c>
      <c r="F322" t="inlineStr">
        <is>
          <t>BLEKINGE LÄN</t>
        </is>
      </c>
      <c r="G322" t="inlineStr">
        <is>
          <t>RONNEBY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46266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45505</v>
      </c>
      <c r="E324" s="1" t="n">
        <v>46266</v>
      </c>
      <c r="F324" t="inlineStr">
        <is>
          <t>BLEKINGE LÄN</t>
        </is>
      </c>
      <c r="G324" t="inlineStr">
        <is>
          <t>RONNEBY</t>
        </is>
      </c>
      <c r="H324" t="inlineStr">
        <is>
          <t>Kommuner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46266</v>
      </c>
      <c r="F325" t="inlineStr">
        <is>
          <t>BLEKINGE LÄN</t>
        </is>
      </c>
      <c r="G325" t="inlineStr">
        <is>
          <t>RONNEBY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46266</v>
      </c>
      <c r="F326" t="inlineStr">
        <is>
          <t>BLEKINGE LÄN</t>
        </is>
      </c>
      <c r="G326" t="inlineStr">
        <is>
          <t>RONNEBY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46266</v>
      </c>
      <c r="F327" t="inlineStr">
        <is>
          <t>BLEKINGE LÄN</t>
        </is>
      </c>
      <c r="G327" t="inlineStr">
        <is>
          <t>RONNEBY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46266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46266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46266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46266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46266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45597</v>
      </c>
      <c r="E333" s="1" t="n">
        <v>46266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46046</v>
      </c>
      <c r="E334" s="1" t="n">
        <v>46266</v>
      </c>
      <c r="F334" t="inlineStr">
        <is>
          <t>BLEKINGE LÄN</t>
        </is>
      </c>
      <c r="G334" t="inlineStr">
        <is>
          <t>RONNEBY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46266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46266</v>
      </c>
      <c r="F336" t="inlineStr">
        <is>
          <t>BLEKINGE LÄN</t>
        </is>
      </c>
      <c r="G336" t="inlineStr">
        <is>
          <t>RONNEBY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46266</v>
      </c>
      <c r="F337" t="inlineStr">
        <is>
          <t>BLEKINGE LÄN</t>
        </is>
      </c>
      <c r="G337" t="inlineStr">
        <is>
          <t>RONNEBY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46266</v>
      </c>
      <c r="F338" t="inlineStr">
        <is>
          <t>BLEKINGE LÄN</t>
        </is>
      </c>
      <c r="G338" t="inlineStr">
        <is>
          <t>RONNEBY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45360</v>
      </c>
      <c r="E339" s="1" t="n">
        <v>46266</v>
      </c>
      <c r="F339" t="inlineStr">
        <is>
          <t>BLEKINGE LÄN</t>
        </is>
      </c>
      <c r="G339" t="inlineStr">
        <is>
          <t>RONNEBY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44565</v>
      </c>
      <c r="E340" s="1" t="n">
        <v>46266</v>
      </c>
      <c r="F340" t="inlineStr">
        <is>
          <t>BLEKINGE LÄN</t>
        </is>
      </c>
      <c r="G340" t="inlineStr">
        <is>
          <t>RONNEBY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46266</v>
      </c>
      <c r="F341" t="inlineStr">
        <is>
          <t>BLEKINGE LÄN</t>
        </is>
      </c>
      <c r="G341" t="inlineStr">
        <is>
          <t>RONNEBY</t>
        </is>
      </c>
      <c r="H341" t="inlineStr">
        <is>
          <t>Övriga Aktiebolag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46266</v>
      </c>
      <c r="F342" t="inlineStr">
        <is>
          <t>BLEKINGE LÄN</t>
        </is>
      </c>
      <c r="G342" t="inlineStr">
        <is>
          <t>RONNEBY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44586</v>
      </c>
      <c r="E343" s="1" t="n">
        <v>46266</v>
      </c>
      <c r="F343" t="inlineStr">
        <is>
          <t>BLEKINGE LÄN</t>
        </is>
      </c>
      <c r="G343" t="inlineStr">
        <is>
          <t>RONNEBY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46266</v>
      </c>
      <c r="F344" t="inlineStr">
        <is>
          <t>BLEKINGE LÄN</t>
        </is>
      </c>
      <c r="G344" t="inlineStr">
        <is>
          <t>RONNEBY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46266</v>
      </c>
      <c r="F345" t="inlineStr">
        <is>
          <t>BLEKINGE LÄN</t>
        </is>
      </c>
      <c r="G345" t="inlineStr">
        <is>
          <t>RONNEBY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44595</v>
      </c>
      <c r="E346" s="1" t="n">
        <v>46266</v>
      </c>
      <c r="F346" t="inlineStr">
        <is>
          <t>BLEKINGE LÄN</t>
        </is>
      </c>
      <c r="G346" t="inlineStr">
        <is>
          <t>RONNEBY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29552-2022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44754</v>
      </c>
      <c r="E347" s="1" t="n">
        <v>46266</v>
      </c>
      <c r="F347" t="inlineStr">
        <is>
          <t>BLEKINGE LÄN</t>
        </is>
      </c>
      <c r="G347" t="inlineStr">
        <is>
          <t>RONNEBY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29434-2022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44753</v>
      </c>
      <c r="E348" s="1" t="n">
        <v>46266</v>
      </c>
      <c r="F348" t="inlineStr">
        <is>
          <t>BLEKINGE LÄN</t>
        </is>
      </c>
      <c r="G348" t="inlineStr">
        <is>
          <t>RONNEBY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46266</v>
      </c>
      <c r="F349" t="inlineStr">
        <is>
          <t>BLEKINGE LÄN</t>
        </is>
      </c>
      <c r="G349" t="inlineStr">
        <is>
          <t>RONNEBY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46266</v>
      </c>
      <c r="F350" t="inlineStr">
        <is>
          <t>BLEKINGE LÄN</t>
        </is>
      </c>
      <c r="G350" t="inlineStr">
        <is>
          <t>RONNEBY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7508-2026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46266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46266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45646</v>
      </c>
      <c r="E353" s="1" t="n">
        <v>46266</v>
      </c>
      <c r="F353" t="inlineStr">
        <is>
          <t>BLEKINGE LÄN</t>
        </is>
      </c>
      <c r="G353" t="inlineStr">
        <is>
          <t>RONNEBY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46266</v>
      </c>
      <c r="F354" t="inlineStr">
        <is>
          <t>BLEKINGE LÄN</t>
        </is>
      </c>
      <c r="G354" t="inlineStr">
        <is>
          <t>RONNEBY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45460</v>
      </c>
      <c r="E355" s="1" t="n">
        <v>46266</v>
      </c>
      <c r="F355" t="inlineStr">
        <is>
          <t>BLEKINGE LÄN</t>
        </is>
      </c>
      <c r="G355" t="inlineStr">
        <is>
          <t>RONNEBY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46266</v>
      </c>
      <c r="F356" t="inlineStr">
        <is>
          <t>BLEKINGE LÄN</t>
        </is>
      </c>
      <c r="G356" t="inlineStr">
        <is>
          <t>RONNEBY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46266</v>
      </c>
      <c r="F357" t="inlineStr">
        <is>
          <t>BLEKINGE LÄN</t>
        </is>
      </c>
      <c r="G357" t="inlineStr">
        <is>
          <t>RONNEBY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46266</v>
      </c>
      <c r="F358" t="inlineStr">
        <is>
          <t>BLEKINGE LÄN</t>
        </is>
      </c>
      <c r="G358" t="inlineStr">
        <is>
          <t>RONNEBY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46266</v>
      </c>
      <c r="F359" t="inlineStr">
        <is>
          <t>BLEKINGE LÄN</t>
        </is>
      </c>
      <c r="G359" t="inlineStr">
        <is>
          <t>RONNEBY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46266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46266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46266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9057-2024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45357</v>
      </c>
      <c r="E363" s="1" t="n">
        <v>46266</v>
      </c>
      <c r="F363" t="inlineStr">
        <is>
          <t>BLEKINGE LÄN</t>
        </is>
      </c>
      <c r="G363" t="inlineStr">
        <is>
          <t>RONNEBY</t>
        </is>
      </c>
      <c r="H363" t="inlineStr">
        <is>
          <t>Kommuner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45054</v>
      </c>
      <c r="E364" s="1" t="n">
        <v>46266</v>
      </c>
      <c r="F364" t="inlineStr">
        <is>
          <t>BLEKINGE LÄN</t>
        </is>
      </c>
      <c r="G364" t="inlineStr">
        <is>
          <t>RONNEBY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46266</v>
      </c>
      <c r="F365" t="inlineStr">
        <is>
          <t>BLEKINGE LÄN</t>
        </is>
      </c>
      <c r="G365" t="inlineStr">
        <is>
          <t>RONNEBY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46266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45394</v>
      </c>
      <c r="E367" s="1" t="n">
        <v>46266</v>
      </c>
      <c r="F367" t="inlineStr">
        <is>
          <t>BLEKINGE LÄN</t>
        </is>
      </c>
      <c r="G367" t="inlineStr">
        <is>
          <t>RONNEBY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46266</v>
      </c>
      <c r="F368" t="inlineStr">
        <is>
          <t>BLEKINGE LÄN</t>
        </is>
      </c>
      <c r="G368" t="inlineStr">
        <is>
          <t>RONNEBY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46266</v>
      </c>
      <c r="F369" t="inlineStr">
        <is>
          <t>BLEKINGE LÄN</t>
        </is>
      </c>
      <c r="G369" t="inlineStr">
        <is>
          <t>RONNEBY</t>
        </is>
      </c>
      <c r="H369" t="inlineStr">
        <is>
          <t>Kyrkan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45402</v>
      </c>
      <c r="E370" s="1" t="n">
        <v>46266</v>
      </c>
      <c r="F370" t="inlineStr">
        <is>
          <t>BLEKINGE LÄN</t>
        </is>
      </c>
      <c r="G370" t="inlineStr">
        <is>
          <t>RONNEBY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46266</v>
      </c>
      <c r="F371" t="inlineStr">
        <is>
          <t>BLEKINGE LÄN</t>
        </is>
      </c>
      <c r="G371" t="inlineStr">
        <is>
          <t>RONNEBY</t>
        </is>
      </c>
      <c r="H371" t="inlineStr">
        <is>
          <t>Kyrkan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45381</v>
      </c>
      <c r="E372" s="1" t="n">
        <v>46266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46078</v>
      </c>
      <c r="E373" s="1" t="n">
        <v>46266</v>
      </c>
      <c r="F373" t="inlineStr">
        <is>
          <t>BLEKINGE LÄN</t>
        </is>
      </c>
      <c r="G373" t="inlineStr">
        <is>
          <t>RONNEBY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46266</v>
      </c>
      <c r="F374" t="inlineStr">
        <is>
          <t>BLEKINGE LÄN</t>
        </is>
      </c>
      <c r="G374" t="inlineStr">
        <is>
          <t>RONNEBY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46266</v>
      </c>
      <c r="F375" t="inlineStr">
        <is>
          <t>BLEKINGE LÄN</t>
        </is>
      </c>
      <c r="G375" t="inlineStr">
        <is>
          <t>RONNEBY</t>
        </is>
      </c>
      <c r="H375" t="inlineStr">
        <is>
          <t>Övriga Aktiebolag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40309-2023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45169</v>
      </c>
      <c r="E376" s="1" t="n">
        <v>46266</v>
      </c>
      <c r="F376" t="inlineStr">
        <is>
          <t>BLEKINGE LÄN</t>
        </is>
      </c>
      <c r="G376" t="inlineStr">
        <is>
          <t>RONNEBY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46266</v>
      </c>
      <c r="F377" t="inlineStr">
        <is>
          <t>BLEKINGE LÄN</t>
        </is>
      </c>
      <c r="G377" t="inlineStr">
        <is>
          <t>RONNEBY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45354</v>
      </c>
      <c r="E378" s="1" t="n">
        <v>46266</v>
      </c>
      <c r="F378" t="inlineStr">
        <is>
          <t>BLEKINGE LÄN</t>
        </is>
      </c>
      <c r="G378" t="inlineStr">
        <is>
          <t>RONNEBY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46266</v>
      </c>
      <c r="F379" t="inlineStr">
        <is>
          <t>BLEKINGE LÄN</t>
        </is>
      </c>
      <c r="G379" t="inlineStr">
        <is>
          <t>RONNEBY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46266</v>
      </c>
      <c r="F380" t="inlineStr">
        <is>
          <t>BLEKINGE LÄN</t>
        </is>
      </c>
      <c r="G380" t="inlineStr">
        <is>
          <t>RONNEBY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45009</v>
      </c>
      <c r="E381" s="1" t="n">
        <v>46266</v>
      </c>
      <c r="F381" t="inlineStr">
        <is>
          <t>BLEKINGE LÄN</t>
        </is>
      </c>
      <c r="G381" t="inlineStr">
        <is>
          <t>RONNEBY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46266</v>
      </c>
      <c r="F382" t="inlineStr">
        <is>
          <t>BLEKINGE LÄN</t>
        </is>
      </c>
      <c r="G382" t="inlineStr">
        <is>
          <t>RONNEBY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46266</v>
      </c>
      <c r="F383" t="inlineStr">
        <is>
          <t>BLEKINGE LÄN</t>
        </is>
      </c>
      <c r="G383" t="inlineStr">
        <is>
          <t>RONNEBY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46266</v>
      </c>
      <c r="F384" t="inlineStr">
        <is>
          <t>BLEKINGE LÄN</t>
        </is>
      </c>
      <c r="G384" t="inlineStr">
        <is>
          <t>RONNEBY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46266</v>
      </c>
      <c r="F385" t="inlineStr">
        <is>
          <t>BLEKINGE LÄN</t>
        </is>
      </c>
      <c r="G385" t="inlineStr">
        <is>
          <t>RONNEBY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46266</v>
      </c>
      <c r="F386" t="inlineStr">
        <is>
          <t>BLEKINGE LÄN</t>
        </is>
      </c>
      <c r="G386" t="inlineStr">
        <is>
          <t>RONNEBY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45702</v>
      </c>
      <c r="E387" s="1" t="n">
        <v>46266</v>
      </c>
      <c r="F387" t="inlineStr">
        <is>
          <t>BLEKINGE LÄN</t>
        </is>
      </c>
      <c r="G387" t="inlineStr">
        <is>
          <t>RONNEBY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46266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46266</v>
      </c>
      <c r="F389" t="inlineStr">
        <is>
          <t>BLEKINGE LÄN</t>
        </is>
      </c>
      <c r="G389" t="inlineStr">
        <is>
          <t>RONNEBY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46266</v>
      </c>
      <c r="F390" t="inlineStr">
        <is>
          <t>BLEKINGE LÄN</t>
        </is>
      </c>
      <c r="G390" t="inlineStr">
        <is>
          <t>RONNEBY</t>
        </is>
      </c>
      <c r="H390" t="inlineStr">
        <is>
          <t>Kommuner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46266</v>
      </c>
      <c r="F391" t="inlineStr">
        <is>
          <t>BLEKINGE LÄN</t>
        </is>
      </c>
      <c r="G391" t="inlineStr">
        <is>
          <t>RONNEBY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45602</v>
      </c>
      <c r="E392" s="1" t="n">
        <v>46266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46266</v>
      </c>
      <c r="F393" t="inlineStr">
        <is>
          <t>BLEKINGE LÄN</t>
        </is>
      </c>
      <c r="G393" t="inlineStr">
        <is>
          <t>RONNEBY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44987</v>
      </c>
      <c r="E394" s="1" t="n">
        <v>46266</v>
      </c>
      <c r="F394" t="inlineStr">
        <is>
          <t>BLEKINGE LÄN</t>
        </is>
      </c>
      <c r="G394" t="inlineStr">
        <is>
          <t>RONNEBY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46266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45480</v>
      </c>
      <c r="E396" s="1" t="n">
        <v>46266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45302</v>
      </c>
      <c r="E397" s="1" t="n">
        <v>46266</v>
      </c>
      <c r="F397" t="inlineStr">
        <is>
          <t>BLEKINGE LÄN</t>
        </is>
      </c>
      <c r="G397" t="inlineStr">
        <is>
          <t>RONNEBY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46266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25077-2022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44729</v>
      </c>
      <c r="E399" s="1" t="n">
        <v>46266</v>
      </c>
      <c r="F399" t="inlineStr">
        <is>
          <t>BLEKINGE LÄN</t>
        </is>
      </c>
      <c r="G399" t="inlineStr">
        <is>
          <t>RONNEBY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15095-2026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46104</v>
      </c>
      <c r="E400" s="1" t="n">
        <v>46266</v>
      </c>
      <c r="F400" t="inlineStr">
        <is>
          <t>BLEKINGE LÄN</t>
        </is>
      </c>
      <c r="G400" t="inlineStr">
        <is>
          <t>RONNEBY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46266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46266</v>
      </c>
      <c r="F402" t="inlineStr">
        <is>
          <t>BLEKINGE LÄN</t>
        </is>
      </c>
      <c r="G402" t="inlineStr">
        <is>
          <t>RONNEBY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54943-2024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45619</v>
      </c>
      <c r="E403" s="1" t="n">
        <v>46266</v>
      </c>
      <c r="F403" t="inlineStr">
        <is>
          <t>BLEKINGE LÄN</t>
        </is>
      </c>
      <c r="G403" t="inlineStr">
        <is>
          <t>RONNEBY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46266</v>
      </c>
      <c r="F404" t="inlineStr">
        <is>
          <t>BLEKINGE LÄN</t>
        </is>
      </c>
      <c r="G404" t="inlineStr">
        <is>
          <t>RONNEBY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46266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46266</v>
      </c>
      <c r="F406" t="inlineStr">
        <is>
          <t>BLEKINGE LÄN</t>
        </is>
      </c>
      <c r="G406" t="inlineStr">
        <is>
          <t>RONNEBY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45337</v>
      </c>
      <c r="E407" s="1" t="n">
        <v>46266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46266</v>
      </c>
      <c r="F408" t="inlineStr">
        <is>
          <t>BLEKINGE LÄN</t>
        </is>
      </c>
      <c r="G408" t="inlineStr">
        <is>
          <t>RONNEBY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46266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32076-2022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44778</v>
      </c>
      <c r="E410" s="1" t="n">
        <v>46266</v>
      </c>
      <c r="F410" t="inlineStr">
        <is>
          <t>BLEKINGE LÄN</t>
        </is>
      </c>
      <c r="G410" t="inlineStr">
        <is>
          <t>RONNEBY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59840-2021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44494</v>
      </c>
      <c r="E411" s="1" t="n">
        <v>46266</v>
      </c>
      <c r="F411" t="inlineStr">
        <is>
          <t>BLEKINGE LÄN</t>
        </is>
      </c>
      <c r="G411" t="inlineStr">
        <is>
          <t>RONNEBY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46266</v>
      </c>
      <c r="F412" t="inlineStr">
        <is>
          <t>BLEKINGE LÄN</t>
        </is>
      </c>
      <c r="G412" t="inlineStr">
        <is>
          <t>RONNEBY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44973</v>
      </c>
      <c r="E413" s="1" t="n">
        <v>46266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9.199999999999999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6510-2023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46266</v>
      </c>
      <c r="F414" t="inlineStr">
        <is>
          <t>BLEKINGE LÄN</t>
        </is>
      </c>
      <c r="G414" t="inlineStr">
        <is>
          <t>RONNEBY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58618-2021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44489</v>
      </c>
      <c r="E415" s="1" t="n">
        <v>46266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44762</v>
      </c>
      <c r="E416" s="1" t="n">
        <v>46266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46266</v>
      </c>
      <c r="F417" t="inlineStr">
        <is>
          <t>BLEKINGE LÄN</t>
        </is>
      </c>
      <c r="G417" t="inlineStr">
        <is>
          <t>RONNEBY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44739</v>
      </c>
      <c r="E418" s="1" t="n">
        <v>46266</v>
      </c>
      <c r="F418" t="inlineStr">
        <is>
          <t>BLEKINGE LÄN</t>
        </is>
      </c>
      <c r="G418" t="inlineStr">
        <is>
          <t>RONNEBY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29430-2022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44753</v>
      </c>
      <c r="E419" s="1" t="n">
        <v>46266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44862</v>
      </c>
      <c r="E420" s="1" t="n">
        <v>46266</v>
      </c>
      <c r="F420" t="inlineStr">
        <is>
          <t>BLEKINGE LÄN</t>
        </is>
      </c>
      <c r="G420" t="inlineStr">
        <is>
          <t>RONNEBY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46266</v>
      </c>
      <c r="F421" t="inlineStr">
        <is>
          <t>BLEKINGE LÄN</t>
        </is>
      </c>
      <c r="G421" t="inlineStr">
        <is>
          <t>RONNEBY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45086</v>
      </c>
      <c r="E422" s="1" t="n">
        <v>46266</v>
      </c>
      <c r="F422" t="inlineStr">
        <is>
          <t>BLEKINGE LÄN</t>
        </is>
      </c>
      <c r="G422" t="inlineStr">
        <is>
          <t>RONNEBY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45310</v>
      </c>
      <c r="E423" s="1" t="n">
        <v>46266</v>
      </c>
      <c r="F423" t="inlineStr">
        <is>
          <t>BLEKINGE LÄN</t>
        </is>
      </c>
      <c r="G423" t="inlineStr">
        <is>
          <t>RONNEBY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46266</v>
      </c>
      <c r="F424" t="inlineStr">
        <is>
          <t>BLEKINGE LÄN</t>
        </is>
      </c>
      <c r="G424" t="inlineStr">
        <is>
          <t>RONNEBY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46266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41875-2022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44829</v>
      </c>
      <c r="E426" s="1" t="n">
        <v>46266</v>
      </c>
      <c r="F426" t="inlineStr">
        <is>
          <t>BLEKINGE LÄN</t>
        </is>
      </c>
      <c r="G426" t="inlineStr">
        <is>
          <t>RONNEBY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19464-2026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46266</v>
      </c>
      <c r="F427" t="inlineStr">
        <is>
          <t>BLEKINGE LÄN</t>
        </is>
      </c>
      <c r="G427" t="inlineStr">
        <is>
          <t>RONNEBY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46266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46266</v>
      </c>
      <c r="F429" t="inlineStr">
        <is>
          <t>BLEKINGE LÄN</t>
        </is>
      </c>
      <c r="G429" t="inlineStr">
        <is>
          <t>RONNEBY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44882</v>
      </c>
      <c r="E430" s="1" t="n">
        <v>46266</v>
      </c>
      <c r="F430" t="inlineStr">
        <is>
          <t>BLEKINGE LÄN</t>
        </is>
      </c>
      <c r="G430" t="inlineStr">
        <is>
          <t>RONNEBY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45534</v>
      </c>
      <c r="E431" s="1" t="n">
        <v>46266</v>
      </c>
      <c r="F431" t="inlineStr">
        <is>
          <t>BLEKINGE LÄN</t>
        </is>
      </c>
      <c r="G431" t="inlineStr">
        <is>
          <t>RONNEBY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56592-2022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44893</v>
      </c>
      <c r="E432" s="1" t="n">
        <v>46266</v>
      </c>
      <c r="F432" t="inlineStr">
        <is>
          <t>BLEKINGE LÄN</t>
        </is>
      </c>
      <c r="G432" t="inlineStr">
        <is>
          <t>RONNEBY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46266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46266</v>
      </c>
      <c r="F434" t="inlineStr">
        <is>
          <t>BLEKINGE LÄN</t>
        </is>
      </c>
      <c r="G434" t="inlineStr">
        <is>
          <t>RONNEBY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45625</v>
      </c>
      <c r="E435" s="1" t="n">
        <v>46266</v>
      </c>
      <c r="F435" t="inlineStr">
        <is>
          <t>BLEKINGE LÄN</t>
        </is>
      </c>
      <c r="G435" t="inlineStr">
        <is>
          <t>RONNEBY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46266</v>
      </c>
      <c r="F436" t="inlineStr">
        <is>
          <t>BLEKINGE LÄN</t>
        </is>
      </c>
      <c r="G436" t="inlineStr">
        <is>
          <t>RONNEBY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44882</v>
      </c>
      <c r="E437" s="1" t="n">
        <v>46266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14099-2023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45009</v>
      </c>
      <c r="E438" s="1" t="n">
        <v>46266</v>
      </c>
      <c r="F438" t="inlineStr">
        <is>
          <t>BLEKINGE LÄN</t>
        </is>
      </c>
      <c r="G438" t="inlineStr">
        <is>
          <t>RONNEBY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46266</v>
      </c>
      <c r="F439" t="inlineStr">
        <is>
          <t>BLEKINGE LÄN</t>
        </is>
      </c>
      <c r="G439" t="inlineStr">
        <is>
          <t>RONNEBY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46266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46266</v>
      </c>
      <c r="F441" t="inlineStr">
        <is>
          <t>BLEKINGE LÄN</t>
        </is>
      </c>
      <c r="G441" t="inlineStr">
        <is>
          <t>RONNEBY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45062</v>
      </c>
      <c r="E442" s="1" t="n">
        <v>46266</v>
      </c>
      <c r="F442" t="inlineStr">
        <is>
          <t>BLEKINGE LÄN</t>
        </is>
      </c>
      <c r="G442" t="inlineStr">
        <is>
          <t>RONNEBY</t>
        </is>
      </c>
      <c r="H442" t="inlineStr">
        <is>
          <t>Kommuner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45811</v>
      </c>
      <c r="E443" s="1" t="n">
        <v>46266</v>
      </c>
      <c r="F443" t="inlineStr">
        <is>
          <t>BLEKINGE LÄN</t>
        </is>
      </c>
      <c r="G443" t="inlineStr">
        <is>
          <t>RONNEBY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41660-2024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45560</v>
      </c>
      <c r="E444" s="1" t="n">
        <v>46266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45670</v>
      </c>
      <c r="E445" s="1" t="n">
        <v>46266</v>
      </c>
      <c r="F445" t="inlineStr">
        <is>
          <t>BLEKINGE LÄN</t>
        </is>
      </c>
      <c r="G445" t="inlineStr">
        <is>
          <t>RONNEBY</t>
        </is>
      </c>
      <c r="I445" t="n">
        <v>12.6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45316</v>
      </c>
      <c r="E446" s="1" t="n">
        <v>46266</v>
      </c>
      <c r="F446" t="inlineStr">
        <is>
          <t>BLEKINGE LÄN</t>
        </is>
      </c>
      <c r="G446" t="inlineStr">
        <is>
          <t>RONNEBY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46266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45929</v>
      </c>
      <c r="E448" s="1" t="n">
        <v>46266</v>
      </c>
      <c r="F448" t="inlineStr">
        <is>
          <t>BLEKINGE LÄN</t>
        </is>
      </c>
      <c r="G448" t="inlineStr">
        <is>
          <t>RONNEBY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46266</v>
      </c>
      <c r="F449" t="inlineStr">
        <is>
          <t>BLEKINGE LÄN</t>
        </is>
      </c>
      <c r="G449" t="inlineStr">
        <is>
          <t>RONNEBY</t>
        </is>
      </c>
      <c r="I449" t="n">
        <v>15.2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45891</v>
      </c>
      <c r="E450" s="1" t="n">
        <v>46266</v>
      </c>
      <c r="F450" t="inlineStr">
        <is>
          <t>BLEKINGE LÄN</t>
        </is>
      </c>
      <c r="G450" t="inlineStr">
        <is>
          <t>RONNEBY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45891</v>
      </c>
      <c r="E451" s="1" t="n">
        <v>46266</v>
      </c>
      <c r="F451" t="inlineStr">
        <is>
          <t>BLEKINGE LÄN</t>
        </is>
      </c>
      <c r="G451" t="inlineStr">
        <is>
          <t>RONNEBY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45673</v>
      </c>
      <c r="E452" s="1" t="n">
        <v>46266</v>
      </c>
      <c r="F452" t="inlineStr">
        <is>
          <t>BLEKINGE LÄN</t>
        </is>
      </c>
      <c r="G452" t="inlineStr">
        <is>
          <t>RONNEBY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46266</v>
      </c>
      <c r="F453" t="inlineStr">
        <is>
          <t>BLEKINGE LÄN</t>
        </is>
      </c>
      <c r="G453" t="inlineStr">
        <is>
          <t>RONNEBY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45440</v>
      </c>
      <c r="E454" s="1" t="n">
        <v>46266</v>
      </c>
      <c r="F454" t="inlineStr">
        <is>
          <t>BLEKINGE LÄN</t>
        </is>
      </c>
      <c r="G454" t="inlineStr">
        <is>
          <t>RONNEBY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46266</v>
      </c>
      <c r="F455" t="inlineStr">
        <is>
          <t>BLEKINGE LÄN</t>
        </is>
      </c>
      <c r="G455" t="inlineStr">
        <is>
          <t>RONNEBY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45426</v>
      </c>
      <c r="E456" s="1" t="n">
        <v>46266</v>
      </c>
      <c r="F456" t="inlineStr">
        <is>
          <t>BLEKINGE LÄN</t>
        </is>
      </c>
      <c r="G456" t="inlineStr">
        <is>
          <t>RONNEBY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47781-2024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45588</v>
      </c>
      <c r="E457" s="1" t="n">
        <v>46266</v>
      </c>
      <c r="F457" t="inlineStr">
        <is>
          <t>BLEKINGE LÄN</t>
        </is>
      </c>
      <c r="G457" t="inlineStr">
        <is>
          <t>RONNEBY</t>
        </is>
      </c>
      <c r="H457" t="inlineStr">
        <is>
          <t>Kommuner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46266</v>
      </c>
      <c r="F458" t="inlineStr">
        <is>
          <t>BLEKINGE LÄN</t>
        </is>
      </c>
      <c r="G458" t="inlineStr">
        <is>
          <t>RONNEBY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45821</v>
      </c>
      <c r="E459" s="1" t="n">
        <v>46266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39032-2022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44817</v>
      </c>
      <c r="E460" s="1" t="n">
        <v>46266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54248-2025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45964</v>
      </c>
      <c r="E461" s="1" t="n">
        <v>46266</v>
      </c>
      <c r="F461" t="inlineStr">
        <is>
          <t>BLEKINGE LÄN</t>
        </is>
      </c>
      <c r="G461" t="inlineStr">
        <is>
          <t>RONNEBY</t>
        </is>
      </c>
      <c r="H461" t="inlineStr">
        <is>
          <t>Kommuner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45559</v>
      </c>
      <c r="E462" s="1" t="n">
        <v>46266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46266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46266</v>
      </c>
      <c r="F464" t="inlineStr">
        <is>
          <t>BLEKINGE LÄN</t>
        </is>
      </c>
      <c r="G464" t="inlineStr">
        <is>
          <t>RONNEBY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52884-2025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45954</v>
      </c>
      <c r="E465" s="1" t="n">
        <v>46266</v>
      </c>
      <c r="F465" t="inlineStr">
        <is>
          <t>BLEKINGE LÄN</t>
        </is>
      </c>
      <c r="G465" t="inlineStr">
        <is>
          <t>RONNEBY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45360</v>
      </c>
      <c r="E466" s="1" t="n">
        <v>46266</v>
      </c>
      <c r="F466" t="inlineStr">
        <is>
          <t>BLEKINGE LÄN</t>
        </is>
      </c>
      <c r="G466" t="inlineStr">
        <is>
          <t>RONNEBY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46266</v>
      </c>
      <c r="F467" t="inlineStr">
        <is>
          <t>BLEKINGE LÄN</t>
        </is>
      </c>
      <c r="G467" t="inlineStr">
        <is>
          <t>RONNEBY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46266</v>
      </c>
      <c r="F468" t="inlineStr">
        <is>
          <t>BLEKINGE LÄN</t>
        </is>
      </c>
      <c r="G468" t="inlineStr">
        <is>
          <t>RONNEBY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45889</v>
      </c>
      <c r="E469" s="1" t="n">
        <v>46266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46266</v>
      </c>
      <c r="F470" t="inlineStr">
        <is>
          <t>BLEKINGE LÄN</t>
        </is>
      </c>
      <c r="G470" t="inlineStr">
        <is>
          <t>RONNEBY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46266</v>
      </c>
      <c r="F471" t="inlineStr">
        <is>
          <t>BLEKINGE LÄN</t>
        </is>
      </c>
      <c r="G471" t="inlineStr">
        <is>
          <t>RONNEBY</t>
        </is>
      </c>
      <c r="H471" t="inlineStr">
        <is>
          <t>Kommuner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23996-2023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46266</v>
      </c>
      <c r="F472" t="inlineStr">
        <is>
          <t>BLEKINGE LÄN</t>
        </is>
      </c>
      <c r="G472" t="inlineStr">
        <is>
          <t>RONNEBY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41863-2025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45903</v>
      </c>
      <c r="E473" s="1" t="n">
        <v>46266</v>
      </c>
      <c r="F473" t="inlineStr">
        <is>
          <t>BLEKINGE LÄN</t>
        </is>
      </c>
      <c r="G473" t="inlineStr">
        <is>
          <t>RONNEBY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46266</v>
      </c>
      <c r="F474" t="inlineStr">
        <is>
          <t>BLEKINGE LÄN</t>
        </is>
      </c>
      <c r="G474" t="inlineStr">
        <is>
          <t>RONNEBY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39247-2025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45889</v>
      </c>
      <c r="E475" s="1" t="n">
        <v>46266</v>
      </c>
      <c r="F475" t="inlineStr">
        <is>
          <t>BLEKINGE LÄN</t>
        </is>
      </c>
      <c r="G475" t="inlineStr">
        <is>
          <t>RONNEBY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44606</v>
      </c>
      <c r="E476" s="1" t="n">
        <v>46266</v>
      </c>
      <c r="F476" t="inlineStr">
        <is>
          <t>BLEKINGE LÄN</t>
        </is>
      </c>
      <c r="G476" t="inlineStr">
        <is>
          <t>RONNEBY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44966</v>
      </c>
      <c r="E477" s="1" t="n">
        <v>46266</v>
      </c>
      <c r="F477" t="inlineStr">
        <is>
          <t>BLEKINGE LÄN</t>
        </is>
      </c>
      <c r="G477" t="inlineStr">
        <is>
          <t>RONNEBY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45178</v>
      </c>
      <c r="E478" s="1" t="n">
        <v>46266</v>
      </c>
      <c r="F478" t="inlineStr">
        <is>
          <t>BLEKINGE LÄN</t>
        </is>
      </c>
      <c r="G478" t="inlineStr">
        <is>
          <t>RONNEBY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45068</v>
      </c>
      <c r="E479" s="1" t="n">
        <v>46266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36413-2024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45536</v>
      </c>
      <c r="E480" s="1" t="n">
        <v>46266</v>
      </c>
      <c r="F480" t="inlineStr">
        <is>
          <t>BLEKINGE LÄN</t>
        </is>
      </c>
      <c r="G480" t="inlineStr">
        <is>
          <t>RONNEBY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46266</v>
      </c>
      <c r="F481" t="inlineStr">
        <is>
          <t>BLEKINGE LÄN</t>
        </is>
      </c>
      <c r="G481" t="inlineStr">
        <is>
          <t>RONNEBY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20551-2026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46266</v>
      </c>
      <c r="F482" t="inlineStr">
        <is>
          <t>BLEKINGE LÄN</t>
        </is>
      </c>
      <c r="G482" t="inlineStr">
        <is>
          <t>RONNEBY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46266</v>
      </c>
      <c r="F483" t="inlineStr">
        <is>
          <t>BLEKINGE LÄN</t>
        </is>
      </c>
      <c r="G483" t="inlineStr">
        <is>
          <t>RONNEBY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46266</v>
      </c>
      <c r="F484" t="inlineStr">
        <is>
          <t>BLEKINGE LÄN</t>
        </is>
      </c>
      <c r="G484" t="inlineStr">
        <is>
          <t>RONNEBY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45072</v>
      </c>
      <c r="E485" s="1" t="n">
        <v>46266</v>
      </c>
      <c r="F485" t="inlineStr">
        <is>
          <t>BLEKINGE LÄN</t>
        </is>
      </c>
      <c r="G485" t="inlineStr">
        <is>
          <t>RONNEBY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46266</v>
      </c>
      <c r="F486" t="inlineStr">
        <is>
          <t>BLEKINGE LÄN</t>
        </is>
      </c>
      <c r="G486" t="inlineStr">
        <is>
          <t>RONNEBY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45196</v>
      </c>
      <c r="E487" s="1" t="n">
        <v>46266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45195</v>
      </c>
      <c r="E488" s="1" t="n">
        <v>46266</v>
      </c>
      <c r="F488" t="inlineStr">
        <is>
          <t>BLEKINGE LÄN</t>
        </is>
      </c>
      <c r="G488" t="inlineStr">
        <is>
          <t>RONNEBY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46266</v>
      </c>
      <c r="F489" t="inlineStr">
        <is>
          <t>BLEKINGE LÄN</t>
        </is>
      </c>
      <c r="G489" t="inlineStr">
        <is>
          <t>RONNEBY</t>
        </is>
      </c>
      <c r="H489" t="inlineStr">
        <is>
          <t>Kommuner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45193</v>
      </c>
      <c r="E490" s="1" t="n">
        <v>46266</v>
      </c>
      <c r="F490" t="inlineStr">
        <is>
          <t>BLEKINGE LÄN</t>
        </is>
      </c>
      <c r="G490" t="inlineStr">
        <is>
          <t>RONNEBY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45264</v>
      </c>
      <c r="E491" s="1" t="n">
        <v>46266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45085</v>
      </c>
      <c r="E492" s="1" t="n">
        <v>46266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46266</v>
      </c>
      <c r="F493" t="inlineStr">
        <is>
          <t>BLEKINGE LÄN</t>
        </is>
      </c>
      <c r="G493" t="inlineStr">
        <is>
          <t>RONNEBY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46266</v>
      </c>
      <c r="F494" t="inlineStr">
        <is>
          <t>BLEKINGE LÄN</t>
        </is>
      </c>
      <c r="G494" t="inlineStr">
        <is>
          <t>RONNEBY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46149</v>
      </c>
      <c r="E495" s="1" t="n">
        <v>46266</v>
      </c>
      <c r="F495" t="inlineStr">
        <is>
          <t>BLEKINGE LÄN</t>
        </is>
      </c>
      <c r="G495" t="inlineStr">
        <is>
          <t>RONNEBY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46266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46266</v>
      </c>
      <c r="F497" t="inlineStr">
        <is>
          <t>BLEKINGE LÄN</t>
        </is>
      </c>
      <c r="G497" t="inlineStr">
        <is>
          <t>RONNEBY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45152</v>
      </c>
      <c r="E498" s="1" t="n">
        <v>46266</v>
      </c>
      <c r="F498" t="inlineStr">
        <is>
          <t>BLEKINGE LÄN</t>
        </is>
      </c>
      <c r="G498" t="inlineStr">
        <is>
          <t>RONNEBY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45139</v>
      </c>
      <c r="E499" s="1" t="n">
        <v>46266</v>
      </c>
      <c r="F499" t="inlineStr">
        <is>
          <t>BLEKINGE LÄN</t>
        </is>
      </c>
      <c r="G499" t="inlineStr">
        <is>
          <t>RONNEBY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46266</v>
      </c>
      <c r="F500" t="inlineStr">
        <is>
          <t>BLEKINGE LÄN</t>
        </is>
      </c>
      <c r="G500" t="inlineStr">
        <is>
          <t>RONNEBY</t>
        </is>
      </c>
      <c r="I500" t="n">
        <v>9.9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45118</v>
      </c>
      <c r="E501" s="1" t="n">
        <v>46266</v>
      </c>
      <c r="F501" t="inlineStr">
        <is>
          <t>BLEKINGE LÄN</t>
        </is>
      </c>
      <c r="G501" t="inlineStr">
        <is>
          <t>RONNEBY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42167-2023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45178</v>
      </c>
      <c r="E502" s="1" t="n">
        <v>46266</v>
      </c>
      <c r="F502" t="inlineStr">
        <is>
          <t>BLEKINGE LÄN</t>
        </is>
      </c>
      <c r="G502" t="inlineStr">
        <is>
          <t>RONNEBY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21203-2023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46266</v>
      </c>
      <c r="F503" t="inlineStr">
        <is>
          <t>BLEKINGE LÄN</t>
        </is>
      </c>
      <c r="G503" t="inlineStr">
        <is>
          <t>RONNEBY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46266</v>
      </c>
      <c r="F504" t="inlineStr">
        <is>
          <t>BLEKINGE LÄN</t>
        </is>
      </c>
      <c r="G504" t="inlineStr">
        <is>
          <t>RONNEBY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45195</v>
      </c>
      <c r="E505" s="1" t="n">
        <v>46266</v>
      </c>
      <c r="F505" t="inlineStr">
        <is>
          <t>BLEKINGE LÄN</t>
        </is>
      </c>
      <c r="G505" t="inlineStr">
        <is>
          <t>RONNEBY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16077-2023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45027</v>
      </c>
      <c r="E506" s="1" t="n">
        <v>46266</v>
      </c>
      <c r="F506" t="inlineStr">
        <is>
          <t>BLEKINGE LÄN</t>
        </is>
      </c>
      <c r="G506" t="inlineStr">
        <is>
          <t>RONNEBY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50921-2024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45602</v>
      </c>
      <c r="E507" s="1" t="n">
        <v>46266</v>
      </c>
      <c r="F507" t="inlineStr">
        <is>
          <t>BLEKINGE LÄN</t>
        </is>
      </c>
      <c r="G507" t="inlineStr">
        <is>
          <t>RONNEBY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45378</v>
      </c>
      <c r="E508" s="1" t="n">
        <v>46266</v>
      </c>
      <c r="F508" t="inlineStr">
        <is>
          <t>BLEKINGE LÄN</t>
        </is>
      </c>
      <c r="G508" t="inlineStr">
        <is>
          <t>RONNEBY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33535-2025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45841</v>
      </c>
      <c r="E509" s="1" t="n">
        <v>46266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20594-2024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45436</v>
      </c>
      <c r="E510" s="1" t="n">
        <v>46266</v>
      </c>
      <c r="F510" t="inlineStr">
        <is>
          <t>BLEKINGE LÄN</t>
        </is>
      </c>
      <c r="G510" t="inlineStr">
        <is>
          <t>RONNEBY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45350</v>
      </c>
      <c r="E511" s="1" t="n">
        <v>46266</v>
      </c>
      <c r="F511" t="inlineStr">
        <is>
          <t>BLEKINGE LÄN</t>
        </is>
      </c>
      <c r="G511" t="inlineStr">
        <is>
          <t>RONNEBY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46266</v>
      </c>
      <c r="F512" t="inlineStr">
        <is>
          <t>BLEKINGE LÄN</t>
        </is>
      </c>
      <c r="G512" t="inlineStr">
        <is>
          <t>RONNEBY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45303</v>
      </c>
      <c r="E513" s="1" t="n">
        <v>46266</v>
      </c>
      <c r="F513" t="inlineStr">
        <is>
          <t>BLEKINGE LÄN</t>
        </is>
      </c>
      <c r="G513" t="inlineStr">
        <is>
          <t>RONNEBY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46266</v>
      </c>
      <c r="F514" t="inlineStr">
        <is>
          <t>BLEKINGE LÄN</t>
        </is>
      </c>
      <c r="G514" t="inlineStr">
        <is>
          <t>RONNEBY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46266</v>
      </c>
      <c r="F515" t="inlineStr">
        <is>
          <t>BLEKINGE LÄN</t>
        </is>
      </c>
      <c r="G515" t="inlineStr">
        <is>
          <t>RONNEBY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8330-2023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46266</v>
      </c>
      <c r="F516" t="inlineStr">
        <is>
          <t>BLEKINGE LÄN</t>
        </is>
      </c>
      <c r="G516" t="inlineStr">
        <is>
          <t>RONNEBY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36946-2022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44806</v>
      </c>
      <c r="E517" s="1" t="n">
        <v>46266</v>
      </c>
      <c r="F517" t="inlineStr">
        <is>
          <t>BLEKINGE LÄN</t>
        </is>
      </c>
      <c r="G517" t="inlineStr">
        <is>
          <t>RONNEBY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46266</v>
      </c>
      <c r="F518" t="inlineStr">
        <is>
          <t>BLEKINGE LÄN</t>
        </is>
      </c>
      <c r="G518" t="inlineStr">
        <is>
          <t>RONNEBY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44992</v>
      </c>
      <c r="E519" s="1" t="n">
        <v>46266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46266</v>
      </c>
      <c r="F520" t="inlineStr">
        <is>
          <t>BLEKINGE LÄN</t>
        </is>
      </c>
      <c r="G520" t="inlineStr">
        <is>
          <t>RONNEBY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46266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46266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44565</v>
      </c>
      <c r="E523" s="1" t="n">
        <v>46266</v>
      </c>
      <c r="F523" t="inlineStr">
        <is>
          <t>BLEKINGE LÄN</t>
        </is>
      </c>
      <c r="G523" t="inlineStr">
        <is>
          <t>RONNEBY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55079-2023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45237</v>
      </c>
      <c r="E524" s="1" t="n">
        <v>46266</v>
      </c>
      <c r="F524" t="inlineStr">
        <is>
          <t>BLEKINGE LÄN</t>
        </is>
      </c>
      <c r="G524" t="inlineStr">
        <is>
          <t>RONNEBY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46266</v>
      </c>
      <c r="F525" t="inlineStr">
        <is>
          <t>BLEKINGE LÄN</t>
        </is>
      </c>
      <c r="G525" t="inlineStr">
        <is>
          <t>RONNEBY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26644-2022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44739</v>
      </c>
      <c r="E526" s="1" t="n">
        <v>46266</v>
      </c>
      <c r="F526" t="inlineStr">
        <is>
          <t>BLEKINGE LÄN</t>
        </is>
      </c>
      <c r="G526" t="inlineStr">
        <is>
          <t>RONNEBY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31415-2022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44774</v>
      </c>
      <c r="E527" s="1" t="n">
        <v>46266</v>
      </c>
      <c r="F527" t="inlineStr">
        <is>
          <t>BLEKINGE LÄN</t>
        </is>
      </c>
      <c r="G527" t="inlineStr">
        <is>
          <t>RONNEBY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46266</v>
      </c>
      <c r="F528" t="inlineStr">
        <is>
          <t>BLEKINGE LÄN</t>
        </is>
      </c>
      <c r="G528" t="inlineStr">
        <is>
          <t>RONNEBY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45303</v>
      </c>
      <c r="E529" s="1" t="n">
        <v>46266</v>
      </c>
      <c r="F529" t="inlineStr">
        <is>
          <t>BLEKINGE LÄN</t>
        </is>
      </c>
      <c r="G529" t="inlineStr">
        <is>
          <t>RONNEBY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45430</v>
      </c>
      <c r="E530" s="1" t="n">
        <v>46266</v>
      </c>
      <c r="F530" t="inlineStr">
        <is>
          <t>BLEKINGE LÄN</t>
        </is>
      </c>
      <c r="G530" t="inlineStr">
        <is>
          <t>RONNEBY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24244-2026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46266</v>
      </c>
      <c r="F531" t="inlineStr">
        <is>
          <t>BLEKINGE LÄN</t>
        </is>
      </c>
      <c r="G531" t="inlineStr">
        <is>
          <t>RONNEBY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44956</v>
      </c>
      <c r="E532" s="1" t="n">
        <v>46266</v>
      </c>
      <c r="F532" t="inlineStr">
        <is>
          <t>BLEKINGE LÄN</t>
        </is>
      </c>
      <c r="G532" t="inlineStr">
        <is>
          <t>RONNEBY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46266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6813-2024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46266</v>
      </c>
      <c r="F534" t="inlineStr">
        <is>
          <t>BLEKINGE LÄN</t>
        </is>
      </c>
      <c r="G534" t="inlineStr">
        <is>
          <t>RONNEBY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46266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45428</v>
      </c>
      <c r="E536" s="1" t="n">
        <v>46266</v>
      </c>
      <c r="F536" t="inlineStr">
        <is>
          <t>BLEKINGE LÄN</t>
        </is>
      </c>
      <c r="G536" t="inlineStr">
        <is>
          <t>RONNEBY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46266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11560-2024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45373</v>
      </c>
      <c r="E538" s="1" t="n">
        <v>46266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11165-2025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45724</v>
      </c>
      <c r="E539" s="1" t="n">
        <v>46266</v>
      </c>
      <c r="F539" t="inlineStr">
        <is>
          <t>BLEKINGE LÄN</t>
        </is>
      </c>
      <c r="G539" t="inlineStr">
        <is>
          <t>RONNEBY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44651</v>
      </c>
      <c r="E540" s="1" t="n">
        <v>46266</v>
      </c>
      <c r="F540" t="inlineStr">
        <is>
          <t>BLEKINGE LÄN</t>
        </is>
      </c>
      <c r="G540" t="inlineStr">
        <is>
          <t>RONNEBY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45560</v>
      </c>
      <c r="E541" s="1" t="n">
        <v>46266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45408</v>
      </c>
      <c r="E542" s="1" t="n">
        <v>46266</v>
      </c>
      <c r="F542" t="inlineStr">
        <is>
          <t>BLEKINGE LÄN</t>
        </is>
      </c>
      <c r="G542" t="inlineStr">
        <is>
          <t>RONNEBY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45097</v>
      </c>
      <c r="E543" s="1" t="n">
        <v>46266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46266</v>
      </c>
      <c r="F544" t="inlineStr">
        <is>
          <t>BLEKINGE LÄN</t>
        </is>
      </c>
      <c r="G544" t="inlineStr">
        <is>
          <t>RONNEBY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45051</v>
      </c>
      <c r="E545" s="1" t="n">
        <v>46266</v>
      </c>
      <c r="F545" t="inlineStr">
        <is>
          <t>BLEKINGE LÄN</t>
        </is>
      </c>
      <c r="G545" t="inlineStr">
        <is>
          <t>RONNEBY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45006</v>
      </c>
      <c r="E546" s="1" t="n">
        <v>46266</v>
      </c>
      <c r="F546" t="inlineStr">
        <is>
          <t>BLEKINGE LÄN</t>
        </is>
      </c>
      <c r="G546" t="inlineStr">
        <is>
          <t>RONNEBY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45139</v>
      </c>
      <c r="E547" s="1" t="n">
        <v>46266</v>
      </c>
      <c r="F547" t="inlineStr">
        <is>
          <t>BLEKINGE LÄN</t>
        </is>
      </c>
      <c r="G547" t="inlineStr">
        <is>
          <t>RONNEBY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46266</v>
      </c>
      <c r="F548" t="inlineStr">
        <is>
          <t>BLEKINGE LÄN</t>
        </is>
      </c>
      <c r="G548" t="inlineStr">
        <is>
          <t>RONNEBY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44819</v>
      </c>
      <c r="E549" s="1" t="n">
        <v>46266</v>
      </c>
      <c r="F549" t="inlineStr">
        <is>
          <t>BLEKINGE LÄN</t>
        </is>
      </c>
      <c r="G549" t="inlineStr">
        <is>
          <t>RONNEBY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44658</v>
      </c>
      <c r="E550" s="1" t="n">
        <v>46266</v>
      </c>
      <c r="F550" t="inlineStr">
        <is>
          <t>BLEKINGE LÄN</t>
        </is>
      </c>
      <c r="G550" t="inlineStr">
        <is>
          <t>RONNEBY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46266</v>
      </c>
      <c r="F551" t="inlineStr">
        <is>
          <t>BLEKINGE LÄN</t>
        </is>
      </c>
      <c r="G551" t="inlineStr">
        <is>
          <t>RONNEBY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46266</v>
      </c>
      <c r="F552" t="inlineStr">
        <is>
          <t>BLEKINGE LÄN</t>
        </is>
      </c>
      <c r="G552" t="inlineStr">
        <is>
          <t>RONNEBY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46266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46266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46266</v>
      </c>
      <c r="F555" t="inlineStr">
        <is>
          <t>BLEKINGE LÄN</t>
        </is>
      </c>
      <c r="G555" t="inlineStr">
        <is>
          <t>RONNEBY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25948-2026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46266</v>
      </c>
      <c r="F556" t="inlineStr">
        <is>
          <t>BLEKINGE LÄN</t>
        </is>
      </c>
      <c r="G556" t="inlineStr">
        <is>
          <t>RONNEBY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46883-2023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46266</v>
      </c>
      <c r="F557" t="inlineStr">
        <is>
          <t>BLEKINGE LÄN</t>
        </is>
      </c>
      <c r="G557" t="inlineStr">
        <is>
          <t>RONNEBY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11242-2023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44992</v>
      </c>
      <c r="E558" s="1" t="n">
        <v>46266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21442-2023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45063</v>
      </c>
      <c r="E559" s="1" t="n">
        <v>46266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46266</v>
      </c>
      <c r="F560" t="inlineStr">
        <is>
          <t>BLEKINGE LÄN</t>
        </is>
      </c>
      <c r="G560" t="inlineStr">
        <is>
          <t>RONNEBY</t>
        </is>
      </c>
      <c r="H560" t="inlineStr">
        <is>
          <t>Övriga Aktiebolag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28704-2022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44748</v>
      </c>
      <c r="E561" s="1" t="n">
        <v>46266</v>
      </c>
      <c r="F561" t="inlineStr">
        <is>
          <t>BLEKINGE LÄN</t>
        </is>
      </c>
      <c r="G561" t="inlineStr">
        <is>
          <t>RONNEBY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46266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23820-2023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45078</v>
      </c>
      <c r="E563" s="1" t="n">
        <v>46266</v>
      </c>
      <c r="F563" t="inlineStr">
        <is>
          <t>BLEKINGE LÄN</t>
        </is>
      </c>
      <c r="G563" t="inlineStr">
        <is>
          <t>RONNEBY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45327</v>
      </c>
      <c r="E564" s="1" t="n">
        <v>46266</v>
      </c>
      <c r="F564" t="inlineStr">
        <is>
          <t>BLEKINGE LÄN</t>
        </is>
      </c>
      <c r="G564" t="inlineStr">
        <is>
          <t>RONNEBY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50198-2024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46266</v>
      </c>
      <c r="F565" t="inlineStr">
        <is>
          <t>BLEKINGE LÄN</t>
        </is>
      </c>
      <c r="G565" t="inlineStr">
        <is>
          <t>RONNEBY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53366-2021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44466</v>
      </c>
      <c r="E566" s="1" t="n">
        <v>46266</v>
      </c>
      <c r="F566" t="inlineStr">
        <is>
          <t>BLEKINGE LÄN</t>
        </is>
      </c>
      <c r="G566" t="inlineStr">
        <is>
          <t>RONNEBY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26779-2026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46266</v>
      </c>
      <c r="F567" t="inlineStr">
        <is>
          <t>BLEKINGE LÄN</t>
        </is>
      </c>
      <c r="G567" t="inlineStr">
        <is>
          <t>RONNEBY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46266</v>
      </c>
      <c r="F568" t="inlineStr">
        <is>
          <t>BLEKINGE LÄN</t>
        </is>
      </c>
      <c r="G568" t="inlineStr">
        <is>
          <t>RONNEBY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9302-2023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44980</v>
      </c>
      <c r="E569" s="1" t="n">
        <v>46266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46226</v>
      </c>
      <c r="E570" s="1" t="n">
        <v>46266</v>
      </c>
      <c r="F570" t="inlineStr">
        <is>
          <t>BLEKINGE LÄN</t>
        </is>
      </c>
      <c r="G570" t="inlineStr">
        <is>
          <t>RONNEBY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44950</v>
      </c>
      <c r="E571" s="1" t="n">
        <v>46266</v>
      </c>
      <c r="F571" t="inlineStr">
        <is>
          <t>BLEKINGE LÄN</t>
        </is>
      </c>
      <c r="G571" t="inlineStr">
        <is>
          <t>RONNEBY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10920-2025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45722</v>
      </c>
      <c r="E572" s="1" t="n">
        <v>46266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45058</v>
      </c>
      <c r="E573" s="1" t="n">
        <v>46266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46266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46229</v>
      </c>
      <c r="E575" s="1" t="n">
        <v>46266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45407-2023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46266</v>
      </c>
      <c r="F576" t="inlineStr">
        <is>
          <t>BLEKINGE LÄN</t>
        </is>
      </c>
      <c r="G576" t="inlineStr">
        <is>
          <t>RONNEBY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45057</v>
      </c>
      <c r="E577" s="1" t="n">
        <v>46266</v>
      </c>
      <c r="F577" t="inlineStr">
        <is>
          <t>BLEKINGE LÄN</t>
        </is>
      </c>
      <c r="G577" t="inlineStr">
        <is>
          <t>RONNEBY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45012</v>
      </c>
      <c r="E578" s="1" t="n">
        <v>46266</v>
      </c>
      <c r="F578" t="inlineStr">
        <is>
          <t>BLEKINGE LÄN</t>
        </is>
      </c>
      <c r="G578" t="inlineStr">
        <is>
          <t>RONNEBY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45012</v>
      </c>
      <c r="E579" s="1" t="n">
        <v>46266</v>
      </c>
      <c r="F579" t="inlineStr">
        <is>
          <t>BLEKINGE LÄN</t>
        </is>
      </c>
      <c r="G579" t="inlineStr">
        <is>
          <t>RONNEBY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44902</v>
      </c>
      <c r="E580" s="1" t="n">
        <v>46266</v>
      </c>
      <c r="F580" t="inlineStr">
        <is>
          <t>BLEKINGE LÄN</t>
        </is>
      </c>
      <c r="G580" t="inlineStr">
        <is>
          <t>RONNEBY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55350-2023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46266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28040-2026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46266</v>
      </c>
      <c r="F582" t="inlineStr">
        <is>
          <t>BLEKINGE LÄN</t>
        </is>
      </c>
      <c r="G582" t="inlineStr">
        <is>
          <t>RONNEBY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45545</v>
      </c>
      <c r="E583" s="1" t="n">
        <v>46266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46266</v>
      </c>
      <c r="F584" t="inlineStr">
        <is>
          <t>BLEKINGE LÄN</t>
        </is>
      </c>
      <c r="G584" t="inlineStr">
        <is>
          <t>RONNEBY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45317-2025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45921</v>
      </c>
      <c r="E585" s="1" t="n">
        <v>46266</v>
      </c>
      <c r="F585" t="inlineStr">
        <is>
          <t>BLEKINGE LÄN</t>
        </is>
      </c>
      <c r="G585" t="inlineStr">
        <is>
          <t>RONNEBY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28732-2026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46198</v>
      </c>
      <c r="E586" s="1" t="n">
        <v>46266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46266</v>
      </c>
      <c r="F587" t="inlineStr">
        <is>
          <t>BLEKINGE LÄN</t>
        </is>
      </c>
      <c r="G587" t="inlineStr">
        <is>
          <t>RONNEBY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46266</v>
      </c>
      <c r="F588" t="inlineStr">
        <is>
          <t>BLEKINGE LÄN</t>
        </is>
      </c>
      <c r="G588" t="inlineStr">
        <is>
          <t>RONNEBY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46266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33489-2026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46247</v>
      </c>
      <c r="E590" s="1" t="n">
        <v>46266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46266</v>
      </c>
      <c r="F591" t="inlineStr">
        <is>
          <t>BLEKINGE LÄN</t>
        </is>
      </c>
      <c r="G591" t="inlineStr">
        <is>
          <t>RONNEBY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33519-2026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46248</v>
      </c>
      <c r="E592" s="1" t="n">
        <v>46266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46210</v>
      </c>
      <c r="E593" s="1" t="n">
        <v>46266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46266</v>
      </c>
      <c r="F594" t="inlineStr">
        <is>
          <t>BLEKINGE LÄN</t>
        </is>
      </c>
      <c r="G594" t="inlineStr">
        <is>
          <t>RONNEBY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46266</v>
      </c>
      <c r="F595" t="inlineStr">
        <is>
          <t>BLEKINGE LÄN</t>
        </is>
      </c>
      <c r="G595" t="inlineStr">
        <is>
          <t>RONNEBY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46210</v>
      </c>
      <c r="E596" s="1" t="n">
        <v>46266</v>
      </c>
      <c r="F596" t="inlineStr">
        <is>
          <t>BLEKINGE LÄN</t>
        </is>
      </c>
      <c r="G596" t="inlineStr">
        <is>
          <t>RONNEBY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46266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46266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46266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46212</v>
      </c>
      <c r="E600" s="1" t="n">
        <v>46266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46266</v>
      </c>
      <c r="F601" t="inlineStr">
        <is>
          <t>BLEKINGE LÄN</t>
        </is>
      </c>
      <c r="G601" t="inlineStr">
        <is>
          <t>RONNEBY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46266</v>
      </c>
      <c r="F602" t="inlineStr">
        <is>
          <t>BLEKINGE LÄN</t>
        </is>
      </c>
      <c r="G602" t="inlineStr">
        <is>
          <t>RONNEBY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46266</v>
      </c>
      <c r="F603" t="inlineStr">
        <is>
          <t>BLEKINGE LÄN</t>
        </is>
      </c>
      <c r="G603" t="inlineStr">
        <is>
          <t>RONNEBY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46266</v>
      </c>
      <c r="F604" t="inlineStr">
        <is>
          <t>BLEKINGE LÄN</t>
        </is>
      </c>
      <c r="G604" t="inlineStr">
        <is>
          <t>RONNEBY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31278-2026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46218</v>
      </c>
      <c r="E605" s="1" t="n">
        <v>46266</v>
      </c>
      <c r="F605" t="inlineStr">
        <is>
          <t>BLEKINGE LÄN</t>
        </is>
      </c>
      <c r="G605" t="inlineStr">
        <is>
          <t>RONNEBY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46266</v>
      </c>
      <c r="F606" t="inlineStr">
        <is>
          <t>BLEKINGE LÄN</t>
        </is>
      </c>
      <c r="G606" t="inlineStr">
        <is>
          <t>RONNEBY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35077-2026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46259</v>
      </c>
      <c r="E607" s="1" t="n">
        <v>46266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46266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46266</v>
      </c>
      <c r="F609" t="inlineStr">
        <is>
          <t>BLEKINGE LÄN</t>
        </is>
      </c>
      <c r="G609" t="inlineStr">
        <is>
          <t>RONNEBY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46266</v>
      </c>
      <c r="F610" t="inlineStr">
        <is>
          <t>BLEKINGE LÄN</t>
        </is>
      </c>
      <c r="G610" t="inlineStr">
        <is>
          <t>RONNEBY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46266</v>
      </c>
      <c r="F611" t="inlineStr">
        <is>
          <t>BLEKINGE LÄN</t>
        </is>
      </c>
      <c r="G611" t="inlineStr">
        <is>
          <t>RONNEBY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46266</v>
      </c>
      <c r="F612" t="inlineStr">
        <is>
          <t>BLEKINGE LÄN</t>
        </is>
      </c>
      <c r="G612" t="inlineStr">
        <is>
          <t>RONNEBY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46265</v>
      </c>
      <c r="E613" s="1" t="n">
        <v>46266</v>
      </c>
      <c r="F613" t="inlineStr">
        <is>
          <t>BLEKINGE LÄN</t>
        </is>
      </c>
      <c r="G613" t="inlineStr">
        <is>
          <t>RONNEBY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46265</v>
      </c>
      <c r="E614" s="1" t="n">
        <v>46266</v>
      </c>
      <c r="F614" t="inlineStr">
        <is>
          <t>BLEKINGE LÄN</t>
        </is>
      </c>
      <c r="G614" t="inlineStr">
        <is>
          <t>RONNEBY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7454-2021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44474</v>
      </c>
      <c r="E615" s="1" t="n">
        <v>46266</v>
      </c>
      <c r="F615" t="inlineStr">
        <is>
          <t>BLEKINGE LÄN</t>
        </is>
      </c>
      <c r="G615" t="inlineStr">
        <is>
          <t>RONNEBY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4024-2022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44755</v>
      </c>
      <c r="E616" s="1" t="n">
        <v>46266</v>
      </c>
      <c r="F616" t="inlineStr">
        <is>
          <t>BLEKINGE LÄN</t>
        </is>
      </c>
      <c r="G616" t="inlineStr">
        <is>
          <t>RONNEBY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949-2022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44608</v>
      </c>
      <c r="E617" s="1" t="n">
        <v>46266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749-2023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44986</v>
      </c>
      <c r="E618" s="1" t="n">
        <v>46266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7948-2021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44483</v>
      </c>
      <c r="E619" s="1" t="n">
        <v>46266</v>
      </c>
      <c r="F619" t="inlineStr">
        <is>
          <t>BLEKINGE LÄN</t>
        </is>
      </c>
      <c r="G619" t="inlineStr">
        <is>
          <t>RONNEBY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2759-2024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46266</v>
      </c>
      <c r="F620" t="inlineStr">
        <is>
          <t>BLEKINGE LÄN</t>
        </is>
      </c>
      <c r="G620" t="inlineStr">
        <is>
          <t>RONNEBY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5159-2024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45646</v>
      </c>
      <c r="E621" s="1" t="n">
        <v>46266</v>
      </c>
      <c r="F621" t="inlineStr">
        <is>
          <t>BLEKINGE LÄN</t>
        </is>
      </c>
      <c r="G621" t="inlineStr">
        <is>
          <t>RONNEBY</t>
        </is>
      </c>
      <c r="I621" t="n">
        <v>75.90000000000001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4617-2024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45602</v>
      </c>
      <c r="E622" s="1" t="n">
        <v>46266</v>
      </c>
      <c r="F622" t="inlineStr">
        <is>
          <t>BLEKINGE LÄN</t>
        </is>
      </c>
      <c r="G622" t="inlineStr">
        <is>
          <t>RONNEBY</t>
        </is>
      </c>
      <c r="I622" t="n">
        <v>65.2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4090-2024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45573</v>
      </c>
      <c r="E623" s="1" t="n">
        <v>46266</v>
      </c>
      <c r="F623" t="inlineStr">
        <is>
          <t>BLEKINGE LÄN</t>
        </is>
      </c>
      <c r="G623" t="inlineStr">
        <is>
          <t>RONNEBY</t>
        </is>
      </c>
      <c r="I623" t="n">
        <v>35.7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45656</v>
      </c>
      <c r="E624" s="1" t="n">
        <v>46266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385-2023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44959</v>
      </c>
      <c r="E625" s="1" t="n">
        <v>46266</v>
      </c>
      <c r="F625" t="inlineStr">
        <is>
          <t>BLEKINGE LÄN</t>
        </is>
      </c>
      <c r="G625" t="inlineStr">
        <is>
          <t>RONNEBY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2196-2024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45457</v>
      </c>
      <c r="E626" s="1" t="n">
        <v>46266</v>
      </c>
      <c r="F626" t="inlineStr">
        <is>
          <t>BLEKINGE LÄN</t>
        </is>
      </c>
      <c r="G626" t="inlineStr">
        <is>
          <t>RONNEBY</t>
        </is>
      </c>
      <c r="I626" t="n">
        <v>19.6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2689-2023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46266</v>
      </c>
      <c r="F627" t="inlineStr">
        <is>
          <t>BLEKINGE LÄN</t>
        </is>
      </c>
      <c r="G627" t="inlineStr">
        <is>
          <t>RONNEBY</t>
        </is>
      </c>
      <c r="I627" t="n">
        <v>17.8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2690-2023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45154</v>
      </c>
      <c r="E628" s="1" t="n">
        <v>46266</v>
      </c>
      <c r="F628" t="inlineStr">
        <is>
          <t>BLEKINGE LÄN</t>
        </is>
      </c>
      <c r="G628" t="inlineStr">
        <is>
          <t>RONNEBY</t>
        </is>
      </c>
      <c r="I628" t="n">
        <v>17.3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206-2026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46050</v>
      </c>
      <c r="E629" s="1" t="n">
        <v>46266</v>
      </c>
      <c r="F629" t="inlineStr">
        <is>
          <t>BLEKINGE LÄN</t>
        </is>
      </c>
      <c r="G629" t="inlineStr">
        <is>
          <t>RONNEBY</t>
        </is>
      </c>
      <c r="H629" t="inlineStr">
        <is>
          <t>Övriga Aktiebolag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46064</v>
      </c>
      <c r="E630" s="1" t="n">
        <v>46266</v>
      </c>
      <c r="F630" t="inlineStr">
        <is>
          <t>BLEKINGE LÄN</t>
        </is>
      </c>
      <c r="G630" t="inlineStr">
        <is>
          <t>RONNEBY</t>
        </is>
      </c>
      <c r="I630" t="n">
        <v>24.3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782-2026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46099</v>
      </c>
      <c r="E631" s="1" t="n">
        <v>46266</v>
      </c>
      <c r="F631" t="inlineStr">
        <is>
          <t>BLEKINGE LÄN</t>
        </is>
      </c>
      <c r="G631" t="inlineStr">
        <is>
          <t>RONNEBY</t>
        </is>
      </c>
      <c r="I631" t="n">
        <v>26.6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2026-09-01T02:04:59Z</dcterms:created>
  <dcterms:modified xmlns:dcterms="http://purl.org/dc/terms/" xmlns:xsi="http://www.w3.org/2001/XMLSchema-instance" xsi:type="dcterms:W3CDTF">2026-09-01T02:05:00Z</dcterms:modified>
</cp:coreProperties>
</file>