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46304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46304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46304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46304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46304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46304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46304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46304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46304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46304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46304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46304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46304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46304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46304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46304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46304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46304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46304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46304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Ekskinn
Noshornsoxe</t>
        </is>
      </c>
      <c r="W26">
        <f>HYPERLINK("https://klasma.github.io/Logging_1081/artfynd/A 27307-2026 artfynd.xlsx", "A 27307-2026")</f>
        <v/>
      </c>
      <c r="X26">
        <f>HYPERLINK("https://klasma.github.io/Logging_1081/kartor/A 27307-2026 karta.png", "A 27307-2026")</f>
        <v/>
      </c>
      <c r="Y26">
        <f>HYPERLINK("https://klasma.github.io/Logging_1081/kartor_geotiff/A 27307-2026 georefererad karta.tif", "A 27307-2026")</f>
        <v/>
      </c>
      <c r="AA26">
        <f>HYPERLINK("https://klasma.github.io/Logging_1081/klagomål/A 27307-2026 FSC-klagomål.docx", "A 27307-2026")</f>
        <v/>
      </c>
      <c r="AB26">
        <f>HYPERLINK("https://klasma.github.io/Logging_1081/klagomålsmail/A 27307-2026 FSC-klagomål mail.docx", "A 27307-2026")</f>
        <v/>
      </c>
      <c r="AC26">
        <f>HYPERLINK("https://klasma.github.io/Logging_1081/tillsyn/A 27307-2026 tillsynsbegäran.docx", "A 27307-2026")</f>
        <v/>
      </c>
      <c r="AD26">
        <f>HYPERLINK("https://klasma.github.io/Logging_1081/tillsynsmail/A 27307-2026 tillsynsbegäran mail.docx", "A 27307-2026")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46304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46304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46304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46304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46304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46304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46304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46304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46304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45413-2023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46304</v>
      </c>
      <c r="F36" t="inlineStr">
        <is>
          <t>BLEKINGE LÄN</t>
        </is>
      </c>
      <c r="G36" t="inlineStr">
        <is>
          <t>RONNEBY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HYPERLINK("https://klasma.github.io/Logging_1081/artfynd/A 45413-2023 artfynd.xlsx", "A 45413-2023")</f>
        <v/>
      </c>
      <c r="X36">
        <f>HYPERLINK("https://klasma.github.io/Logging_1081/kartor/A 45413-2023 karta.png", "A 45413-2023")</f>
        <v/>
      </c>
      <c r="Y36">
        <f>HYPERLINK("https://klasma.github.io/Logging_1081/kartor_geotiff/A 45413-2023 georefererad karta.tif", "A 45413-2023")</f>
        <v/>
      </c>
      <c r="AA36">
        <f>HYPERLINK("https://klasma.github.io/Logging_1081/klagomål/A 45413-2023 FSC-klagomål.docx", "A 45413-2023")</f>
        <v/>
      </c>
      <c r="AB36">
        <f>HYPERLINK("https://klasma.github.io/Logging_1081/klagomålsmail/A 45413-2023 FSC-klagomål mail.docx", "A 45413-2023")</f>
        <v/>
      </c>
      <c r="AC36">
        <f>HYPERLINK("https://klasma.github.io/Logging_1081/tillsyn/A 45413-2023 tillsynsbegäran.docx", "A 45413-2023")</f>
        <v/>
      </c>
      <c r="AD36">
        <f>HYPERLINK("https://klasma.github.io/Logging_1081/tillsynsmail/A 45413-2023 tillsynsbegäran mail.docx", "A 45413-2023")</f>
        <v/>
      </c>
    </row>
    <row r="37" ht="15" customHeight="1">
      <c r="A37" t="inlineStr">
        <is>
          <t>A 9309-2023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46304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Tibast</t>
        </is>
      </c>
      <c r="W37">
        <f>HYPERLINK("https://klasma.github.io/Logging_1081/artfynd/A 9309-2023 artfynd.xlsx", "A 9309-2023")</f>
        <v/>
      </c>
      <c r="X37">
        <f>HYPERLINK("https://klasma.github.io/Logging_1081/kartor/A 9309-2023 karta.png", "A 9309-2023")</f>
        <v/>
      </c>
      <c r="Y37">
        <f>HYPERLINK("https://klasma.github.io/Logging_1081/kartor_geotiff/A 9309-2023 georefererad karta.tif", "A 9309-2023")</f>
        <v/>
      </c>
      <c r="AA37">
        <f>HYPERLINK("https://klasma.github.io/Logging_1081/klagomål/A 9309-2023 FSC-klagomål.docx", "A 9309-2023")</f>
        <v/>
      </c>
      <c r="AB37">
        <f>HYPERLINK("https://klasma.github.io/Logging_1081/klagomålsmail/A 9309-2023 FSC-klagomål mail.docx", "A 9309-2023")</f>
        <v/>
      </c>
      <c r="AC37">
        <f>HYPERLINK("https://klasma.github.io/Logging_1081/tillsyn/A 9309-2023 tillsynsbegäran.docx", "A 9309-2023")</f>
        <v/>
      </c>
      <c r="AD37">
        <f>HYPERLINK("https://klasma.github.io/Logging_1081/tillsynsmail/A 9309-2023 tillsynsbegäran mail.docx", "A 9309-2023")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46304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25104-2026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46304</v>
      </c>
      <c r="F39" t="inlineStr">
        <is>
          <t>BLEKINGE LÄN</t>
        </is>
      </c>
      <c r="G39" t="inlineStr">
        <is>
          <t>RONNEBY</t>
        </is>
      </c>
      <c r="I39" t="n">
        <v>1.1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Backsippa</t>
        </is>
      </c>
      <c r="W39">
        <f>HYPERLINK("https://klasma.github.io/Logging_1081/artfynd/A 25104-2026 artfynd.xlsx", "A 25104-2026")</f>
        <v/>
      </c>
      <c r="X39">
        <f>HYPERLINK("https://klasma.github.io/Logging_1081/kartor/A 25104-2026 karta.png", "A 25104-2026")</f>
        <v/>
      </c>
      <c r="Y39">
        <f>HYPERLINK("https://klasma.github.io/Logging_1081/kartor_geotiff/A 25104-2026 georefererad karta.tif", "A 25104-2026")</f>
        <v/>
      </c>
      <c r="AA39">
        <f>HYPERLINK("https://klasma.github.io/Logging_1081/klagomål/A 25104-2026 FSC-klagomål.docx", "A 25104-2026")</f>
        <v/>
      </c>
      <c r="AB39">
        <f>HYPERLINK("https://klasma.github.io/Logging_1081/klagomålsmail/A 25104-2026 FSC-klagomål mail.docx", "A 25104-2026")</f>
        <v/>
      </c>
      <c r="AC39">
        <f>HYPERLINK("https://klasma.github.io/Logging_1081/tillsyn/A 25104-2026 tillsynsbegäran.docx", "A 25104-2026")</f>
        <v/>
      </c>
      <c r="AD39">
        <f>HYPERLINK("https://klasma.github.io/Logging_1081/tillsynsmail/A 25104-2026 tillsynsbegäran mail.docx", "A 25104-2026")</f>
        <v/>
      </c>
    </row>
    <row r="40" ht="15" customHeight="1">
      <c r="A40" t="inlineStr">
        <is>
          <t>A 26288-2026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46304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1.6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Havstulpanlav</t>
        </is>
      </c>
      <c r="W40">
        <f>HYPERLINK("https://klasma.github.io/Logging_1081/artfynd/A 26288-2026 artfynd.xlsx", "A 26288-2026")</f>
        <v/>
      </c>
      <c r="X40">
        <f>HYPERLINK("https://klasma.github.io/Logging_1081/kartor/A 26288-2026 karta.png", "A 26288-2026")</f>
        <v/>
      </c>
      <c r="Y40">
        <f>HYPERLINK("https://klasma.github.io/Logging_1081/kartor_geotiff/A 26288-2026 georefererad karta.tif", "A 26288-2026")</f>
        <v/>
      </c>
      <c r="AA40">
        <f>HYPERLINK("https://klasma.github.io/Logging_1081/klagomål/A 26288-2026 FSC-klagomål.docx", "A 26288-2026")</f>
        <v/>
      </c>
      <c r="AB40">
        <f>HYPERLINK("https://klasma.github.io/Logging_1081/klagomålsmail/A 26288-2026 FSC-klagomål mail.docx", "A 26288-2026")</f>
        <v/>
      </c>
      <c r="AC40">
        <f>HYPERLINK("https://klasma.github.io/Logging_1081/tillsyn/A 26288-2026 tillsynsbegäran.docx", "A 26288-2026")</f>
        <v/>
      </c>
      <c r="AD40">
        <f>HYPERLINK("https://klasma.github.io/Logging_1081/tillsynsmail/A 26288-2026 tillsynsbegäran mail.docx", "A 26288-2026")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46304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46304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46304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46304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46304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46304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46304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46304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46304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46304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46304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46304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46304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46304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46304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46304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46304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46304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46304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46304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46304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46304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46304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46304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46304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46304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46304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46304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46304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46304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46304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46304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46304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46304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46304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46304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46304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46304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46304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46304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46304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46304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46304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46304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46304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46304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46304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46304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46304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46304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46304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46304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46304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46304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46304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46304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46304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46304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46304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46304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46304</v>
      </c>
      <c r="F101" t="inlineStr">
        <is>
          <t>BLEKINGE LÄN</t>
        </is>
      </c>
      <c r="G101" t="inlineStr">
        <is>
          <t>RONNEBY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46304</v>
      </c>
      <c r="F102" t="inlineStr">
        <is>
          <t>BLEKINGE LÄN</t>
        </is>
      </c>
      <c r="G102" t="inlineStr">
        <is>
          <t>RONNEBY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46304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46304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46304</v>
      </c>
      <c r="F105" t="inlineStr">
        <is>
          <t>BLEKINGE LÄN</t>
        </is>
      </c>
      <c r="G105" t="inlineStr">
        <is>
          <t>RONNEBY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44630</v>
      </c>
      <c r="E106" s="1" t="n">
        <v>46304</v>
      </c>
      <c r="F106" t="inlineStr">
        <is>
          <t>BLEKINGE LÄN</t>
        </is>
      </c>
      <c r="G106" t="inlineStr">
        <is>
          <t>RONNEBY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46304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46304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46304</v>
      </c>
      <c r="F109" t="inlineStr">
        <is>
          <t>BLEKINGE LÄN</t>
        </is>
      </c>
      <c r="G109" t="inlineStr">
        <is>
          <t>RONNEBY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46304</v>
      </c>
      <c r="F110" t="inlineStr">
        <is>
          <t>BLEKINGE LÄN</t>
        </is>
      </c>
      <c r="G110" t="inlineStr">
        <is>
          <t>RONNEBY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46304</v>
      </c>
      <c r="F111" t="inlineStr">
        <is>
          <t>BLEKINGE LÄN</t>
        </is>
      </c>
      <c r="G111" t="inlineStr">
        <is>
          <t>RONNEBY</t>
        </is>
      </c>
      <c r="H111" t="inlineStr">
        <is>
          <t>Övriga Aktiebolag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46304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45121</v>
      </c>
      <c r="E113" s="1" t="n">
        <v>46304</v>
      </c>
      <c r="F113" t="inlineStr">
        <is>
          <t>BLEKINGE LÄN</t>
        </is>
      </c>
      <c r="G113" t="inlineStr">
        <is>
          <t>RONNEBY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46304</v>
      </c>
      <c r="F114" t="inlineStr">
        <is>
          <t>BLEKINGE LÄN</t>
        </is>
      </c>
      <c r="G114" t="inlineStr">
        <is>
          <t>RONNEBY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46304</v>
      </c>
      <c r="F115" t="inlineStr">
        <is>
          <t>BLEKINGE LÄN</t>
        </is>
      </c>
      <c r="G115" t="inlineStr">
        <is>
          <t>RONNEBY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46304</v>
      </c>
      <c r="F116" t="inlineStr">
        <is>
          <t>BLEKINGE LÄN</t>
        </is>
      </c>
      <c r="G116" t="inlineStr">
        <is>
          <t>RONNEBY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45261</v>
      </c>
      <c r="E117" s="1" t="n">
        <v>46304</v>
      </c>
      <c r="F117" t="inlineStr">
        <is>
          <t>BLEKINGE LÄN</t>
        </is>
      </c>
      <c r="G117" t="inlineStr">
        <is>
          <t>RONNEBY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44987</v>
      </c>
      <c r="E118" s="1" t="n">
        <v>46304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46304</v>
      </c>
      <c r="F119" t="inlineStr">
        <is>
          <t>BLEKINGE LÄN</t>
        </is>
      </c>
      <c r="G119" t="inlineStr">
        <is>
          <t>RONNEBY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46304</v>
      </c>
      <c r="F120" t="inlineStr">
        <is>
          <t>BLEKINGE LÄN</t>
        </is>
      </c>
      <c r="G120" t="inlineStr">
        <is>
          <t>RONNEBY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44617</v>
      </c>
      <c r="E121" s="1" t="n">
        <v>46304</v>
      </c>
      <c r="F121" t="inlineStr">
        <is>
          <t>BLEKINGE LÄN</t>
        </is>
      </c>
      <c r="G121" t="inlineStr">
        <is>
          <t>RONNEBY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46304</v>
      </c>
      <c r="F122" t="inlineStr">
        <is>
          <t>BLEKINGE LÄN</t>
        </is>
      </c>
      <c r="G122" t="inlineStr">
        <is>
          <t>RONNEBY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46304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46304</v>
      </c>
      <c r="F124" t="inlineStr">
        <is>
          <t>BLEKINGE LÄN</t>
        </is>
      </c>
      <c r="G124" t="inlineStr">
        <is>
          <t>RONNEBY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45012</v>
      </c>
      <c r="E125" s="1" t="n">
        <v>46304</v>
      </c>
      <c r="F125" t="inlineStr">
        <is>
          <t>BLEKINGE LÄN</t>
        </is>
      </c>
      <c r="G125" t="inlineStr">
        <is>
          <t>RONNEBY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46304</v>
      </c>
      <c r="F126" t="inlineStr">
        <is>
          <t>BLEKINGE LÄN</t>
        </is>
      </c>
      <c r="G126" t="inlineStr">
        <is>
          <t>RONNEBY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46304</v>
      </c>
      <c r="F127" t="inlineStr">
        <is>
          <t>BLEKINGE LÄN</t>
        </is>
      </c>
      <c r="G127" t="inlineStr">
        <is>
          <t>RONNEBY</t>
        </is>
      </c>
      <c r="I127" t="n">
        <v>9.199999999999999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46304</v>
      </c>
      <c r="F128" t="inlineStr">
        <is>
          <t>BLEKINGE LÄN</t>
        </is>
      </c>
      <c r="G128" t="inlineStr">
        <is>
          <t>RONNEBY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46304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45341</v>
      </c>
      <c r="E130" s="1" t="n">
        <v>46304</v>
      </c>
      <c r="F130" t="inlineStr">
        <is>
          <t>BLEKINGE LÄN</t>
        </is>
      </c>
      <c r="G130" t="inlineStr">
        <is>
          <t>RONNEBY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46304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46304</v>
      </c>
      <c r="F132" t="inlineStr">
        <is>
          <t>BLEKINGE LÄN</t>
        </is>
      </c>
      <c r="G132" t="inlineStr">
        <is>
          <t>RONNEBY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46304</v>
      </c>
      <c r="F133" t="inlineStr">
        <is>
          <t>BLEKINGE LÄN</t>
        </is>
      </c>
      <c r="G133" t="inlineStr">
        <is>
          <t>RONNEBY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46304</v>
      </c>
      <c r="F134" t="inlineStr">
        <is>
          <t>BLEKINGE LÄN</t>
        </is>
      </c>
      <c r="G134" t="inlineStr">
        <is>
          <t>RONNEBY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46304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46304</v>
      </c>
      <c r="F136" t="inlineStr">
        <is>
          <t>BLEKINGE LÄN</t>
        </is>
      </c>
      <c r="G136" t="inlineStr">
        <is>
          <t>RONNEBY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46304</v>
      </c>
      <c r="F137" t="inlineStr">
        <is>
          <t>BLEKINGE LÄN</t>
        </is>
      </c>
      <c r="G137" t="inlineStr">
        <is>
          <t>RONNEBY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46304</v>
      </c>
      <c r="F138" t="inlineStr">
        <is>
          <t>BLEKINGE LÄN</t>
        </is>
      </c>
      <c r="G138" t="inlineStr">
        <is>
          <t>RONNEBY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45128</v>
      </c>
      <c r="E139" s="1" t="n">
        <v>46304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45670</v>
      </c>
      <c r="E140" s="1" t="n">
        <v>46304</v>
      </c>
      <c r="F140" t="inlineStr">
        <is>
          <t>BLEKINGE LÄN</t>
        </is>
      </c>
      <c r="G140" t="inlineStr">
        <is>
          <t>RONNEBY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45739</v>
      </c>
      <c r="E141" s="1" t="n">
        <v>46304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46304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46304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46304</v>
      </c>
      <c r="F144" t="inlineStr">
        <is>
          <t>BLEKINGE LÄN</t>
        </is>
      </c>
      <c r="G144" t="inlineStr">
        <is>
          <t>RONNEBY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45061</v>
      </c>
      <c r="E145" s="1" t="n">
        <v>46304</v>
      </c>
      <c r="F145" t="inlineStr">
        <is>
          <t>BLEKINGE LÄN</t>
        </is>
      </c>
      <c r="G145" t="inlineStr">
        <is>
          <t>RONNEBY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45432</v>
      </c>
      <c r="E146" s="1" t="n">
        <v>46304</v>
      </c>
      <c r="F146" t="inlineStr">
        <is>
          <t>BLEKINGE LÄN</t>
        </is>
      </c>
      <c r="G146" t="inlineStr">
        <is>
          <t>RONNEBY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46304</v>
      </c>
      <c r="F147" t="inlineStr">
        <is>
          <t>BLEKINGE LÄN</t>
        </is>
      </c>
      <c r="G147" t="inlineStr">
        <is>
          <t>RONNEBY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46304</v>
      </c>
      <c r="F148" t="inlineStr">
        <is>
          <t>BLEKINGE LÄN</t>
        </is>
      </c>
      <c r="G148" t="inlineStr">
        <is>
          <t>RONNEBY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45169</v>
      </c>
      <c r="E149" s="1" t="n">
        <v>46304</v>
      </c>
      <c r="F149" t="inlineStr">
        <is>
          <t>BLEKINGE LÄN</t>
        </is>
      </c>
      <c r="G149" t="inlineStr">
        <is>
          <t>RONNEBY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45115</v>
      </c>
      <c r="E150" s="1" t="n">
        <v>46304</v>
      </c>
      <c r="F150" t="inlineStr">
        <is>
          <t>BLEKINGE LÄN</t>
        </is>
      </c>
      <c r="G150" t="inlineStr">
        <is>
          <t>RONNEBY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59676-2022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44908</v>
      </c>
      <c r="E151" s="1" t="n">
        <v>46304</v>
      </c>
      <c r="F151" t="inlineStr">
        <is>
          <t>BLEKINGE LÄN</t>
        </is>
      </c>
      <c r="G151" t="inlineStr">
        <is>
          <t>RONNEBY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46304</v>
      </c>
      <c r="F152" t="inlineStr">
        <is>
          <t>BLEKINGE LÄN</t>
        </is>
      </c>
      <c r="G152" t="inlineStr">
        <is>
          <t>RONNEBY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46304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statliga verk och myndigheter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44880</v>
      </c>
      <c r="E154" s="1" t="n">
        <v>46304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44822</v>
      </c>
      <c r="E155" s="1" t="n">
        <v>46304</v>
      </c>
      <c r="F155" t="inlineStr">
        <is>
          <t>BLEKINGE LÄN</t>
        </is>
      </c>
      <c r="G155" t="inlineStr">
        <is>
          <t>RONNEBY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46304</v>
      </c>
      <c r="F156" t="inlineStr">
        <is>
          <t>BLEKINGE LÄN</t>
        </is>
      </c>
      <c r="G156" t="inlineStr">
        <is>
          <t>RONNEBY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46304</v>
      </c>
      <c r="F157" t="inlineStr">
        <is>
          <t>BLEKINGE LÄN</t>
        </is>
      </c>
      <c r="G157" t="inlineStr">
        <is>
          <t>RONNEBY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46304</v>
      </c>
      <c r="F158" t="inlineStr">
        <is>
          <t>BLEKINGE LÄN</t>
        </is>
      </c>
      <c r="G158" t="inlineStr">
        <is>
          <t>RONNEBY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46304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46304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46304</v>
      </c>
      <c r="F161" t="inlineStr">
        <is>
          <t>BLEKINGE LÄN</t>
        </is>
      </c>
      <c r="G161" t="inlineStr">
        <is>
          <t>RONNEBY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44754</v>
      </c>
      <c r="E162" s="1" t="n">
        <v>46304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46304</v>
      </c>
      <c r="F163" t="inlineStr">
        <is>
          <t>BLEKINGE LÄN</t>
        </is>
      </c>
      <c r="G163" t="inlineStr">
        <is>
          <t>RONNEBY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46304</v>
      </c>
      <c r="F164" t="inlineStr">
        <is>
          <t>BLEKINGE LÄN</t>
        </is>
      </c>
      <c r="G164" t="inlineStr">
        <is>
          <t>RONNEBY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46304</v>
      </c>
      <c r="F165" t="inlineStr">
        <is>
          <t>BLEKINGE LÄN</t>
        </is>
      </c>
      <c r="G165" t="inlineStr">
        <is>
          <t>RONNEBY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45843</v>
      </c>
      <c r="E166" s="1" t="n">
        <v>46304</v>
      </c>
      <c r="F166" t="inlineStr">
        <is>
          <t>BLEKINGE LÄN</t>
        </is>
      </c>
      <c r="G166" t="inlineStr">
        <is>
          <t>RONNEBY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46304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46304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46304</v>
      </c>
      <c r="F169" t="inlineStr">
        <is>
          <t>BLEKINGE LÄN</t>
        </is>
      </c>
      <c r="G169" t="inlineStr">
        <is>
          <t>RONNEBY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46304</v>
      </c>
      <c r="F170" t="inlineStr">
        <is>
          <t>BLEKINGE LÄN</t>
        </is>
      </c>
      <c r="G170" t="inlineStr">
        <is>
          <t>RONNEBY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45846</v>
      </c>
      <c r="E171" s="1" t="n">
        <v>46304</v>
      </c>
      <c r="F171" t="inlineStr">
        <is>
          <t>BLEKINGE LÄN</t>
        </is>
      </c>
      <c r="G171" t="inlineStr">
        <is>
          <t>RONNEBY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34307-2025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45846</v>
      </c>
      <c r="E172" s="1" t="n">
        <v>46304</v>
      </c>
      <c r="F172" t="inlineStr">
        <is>
          <t>BLEKINGE LÄN</t>
        </is>
      </c>
      <c r="G172" t="inlineStr">
        <is>
          <t>RONNEBY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45402</v>
      </c>
      <c r="E173" s="1" t="n">
        <v>46304</v>
      </c>
      <c r="F173" t="inlineStr">
        <is>
          <t>BLEKINGE LÄN</t>
        </is>
      </c>
      <c r="G173" t="inlineStr">
        <is>
          <t>RONNEBY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44600</v>
      </c>
      <c r="E174" s="1" t="n">
        <v>46304</v>
      </c>
      <c r="F174" t="inlineStr">
        <is>
          <t>BLEKINGE LÄN</t>
        </is>
      </c>
      <c r="G174" t="inlineStr">
        <is>
          <t>RONNEBY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61329-2024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46304</v>
      </c>
      <c r="F175" t="inlineStr">
        <is>
          <t>BLEKINGE LÄN</t>
        </is>
      </c>
      <c r="G175" t="inlineStr">
        <is>
          <t>RONNEBY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46304</v>
      </c>
      <c r="F176" t="inlineStr">
        <is>
          <t>BLEKINGE LÄN</t>
        </is>
      </c>
      <c r="G176" t="inlineStr">
        <is>
          <t>RONNEBY</t>
        </is>
      </c>
      <c r="I176" t="n">
        <v>14.4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35580-2025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45856</v>
      </c>
      <c r="E177" s="1" t="n">
        <v>46304</v>
      </c>
      <c r="F177" t="inlineStr">
        <is>
          <t>BLEKINGE LÄN</t>
        </is>
      </c>
      <c r="G177" t="inlineStr">
        <is>
          <t>RONNEBY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46304</v>
      </c>
      <c r="F178" t="inlineStr">
        <is>
          <t>BLEKINGE LÄN</t>
        </is>
      </c>
      <c r="G178" t="inlineStr">
        <is>
          <t>RONNEBY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44939</v>
      </c>
      <c r="E179" s="1" t="n">
        <v>46304</v>
      </c>
      <c r="F179" t="inlineStr">
        <is>
          <t>BLEKINGE LÄN</t>
        </is>
      </c>
      <c r="G179" t="inlineStr">
        <is>
          <t>RONNEBY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46304</v>
      </c>
      <c r="F180" t="inlineStr">
        <is>
          <t>BLEKINGE LÄN</t>
        </is>
      </c>
      <c r="G180" t="inlineStr">
        <is>
          <t>RONNEBY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46304</v>
      </c>
      <c r="F181" t="inlineStr">
        <is>
          <t>BLEKINGE LÄN</t>
        </is>
      </c>
      <c r="G181" t="inlineStr">
        <is>
          <t>RONNEBY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46304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46304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46304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46304</v>
      </c>
      <c r="F185" t="inlineStr">
        <is>
          <t>BLEKINGE LÄN</t>
        </is>
      </c>
      <c r="G185" t="inlineStr">
        <is>
          <t>RONNEBY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45892</v>
      </c>
      <c r="E186" s="1" t="n">
        <v>46304</v>
      </c>
      <c r="F186" t="inlineStr">
        <is>
          <t>BLEKINGE LÄN</t>
        </is>
      </c>
      <c r="G186" t="inlineStr">
        <is>
          <t>RONNEBY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45653</v>
      </c>
      <c r="E187" s="1" t="n">
        <v>46304</v>
      </c>
      <c r="F187" t="inlineStr">
        <is>
          <t>BLEKINGE LÄN</t>
        </is>
      </c>
      <c r="G187" t="inlineStr">
        <is>
          <t>RONNEBY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46304</v>
      </c>
      <c r="F188" t="inlineStr">
        <is>
          <t>BLEKINGE LÄN</t>
        </is>
      </c>
      <c r="G188" t="inlineStr">
        <is>
          <t>RONNEBY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45192</v>
      </c>
      <c r="E189" s="1" t="n">
        <v>46304</v>
      </c>
      <c r="F189" t="inlineStr">
        <is>
          <t>BLEKINGE LÄN</t>
        </is>
      </c>
      <c r="G189" t="inlineStr">
        <is>
          <t>RONNEBY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46304</v>
      </c>
      <c r="F190" t="inlineStr">
        <is>
          <t>BLEKINGE LÄN</t>
        </is>
      </c>
      <c r="G190" t="inlineStr">
        <is>
          <t>RONNEBY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46304</v>
      </c>
      <c r="F191" t="inlineStr">
        <is>
          <t>BLEKINGE LÄN</t>
        </is>
      </c>
      <c r="G191" t="inlineStr">
        <is>
          <t>RONNEBY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64465-2023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45280</v>
      </c>
      <c r="E192" s="1" t="n">
        <v>46304</v>
      </c>
      <c r="F192" t="inlineStr">
        <is>
          <t>BLEKINGE LÄN</t>
        </is>
      </c>
      <c r="G192" t="inlineStr">
        <is>
          <t>RONNEBY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46304</v>
      </c>
      <c r="F193" t="inlineStr">
        <is>
          <t>BLEKINGE LÄN</t>
        </is>
      </c>
      <c r="G193" t="inlineStr">
        <is>
          <t>RONNEBY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45715</v>
      </c>
      <c r="E194" s="1" t="n">
        <v>46304</v>
      </c>
      <c r="F194" t="inlineStr">
        <is>
          <t>BLEKINGE LÄN</t>
        </is>
      </c>
      <c r="G194" t="inlineStr">
        <is>
          <t>RONNEBY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45360</v>
      </c>
      <c r="E195" s="1" t="n">
        <v>46304</v>
      </c>
      <c r="F195" t="inlineStr">
        <is>
          <t>BLEKINGE LÄN</t>
        </is>
      </c>
      <c r="G195" t="inlineStr">
        <is>
          <t>RONNEBY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46304</v>
      </c>
      <c r="F196" t="inlineStr">
        <is>
          <t>BLEKINGE LÄN</t>
        </is>
      </c>
      <c r="G196" t="inlineStr">
        <is>
          <t>RONNEBY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46304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16094-2025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46304</v>
      </c>
      <c r="F198" t="inlineStr">
        <is>
          <t>BLEKINGE LÄN</t>
        </is>
      </c>
      <c r="G198" t="inlineStr">
        <is>
          <t>RONNEBY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45743</v>
      </c>
      <c r="E199" s="1" t="n">
        <v>46304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46304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45807</v>
      </c>
      <c r="E201" s="1" t="n">
        <v>46304</v>
      </c>
      <c r="F201" t="inlineStr">
        <is>
          <t>BLEKINGE LÄN</t>
        </is>
      </c>
      <c r="G201" t="inlineStr">
        <is>
          <t>RONNEBY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46304</v>
      </c>
      <c r="F202" t="inlineStr">
        <is>
          <t>BLEKINGE LÄN</t>
        </is>
      </c>
      <c r="G202" t="inlineStr">
        <is>
          <t>RONNEBY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43291-2025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45910</v>
      </c>
      <c r="E203" s="1" t="n">
        <v>46304</v>
      </c>
      <c r="F203" t="inlineStr">
        <is>
          <t>BLEKINGE LÄN</t>
        </is>
      </c>
      <c r="G203" t="inlineStr">
        <is>
          <t>RONNEBY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46304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46304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46304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46304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46304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46304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46304</v>
      </c>
      <c r="F210" t="inlineStr">
        <is>
          <t>BLEKINGE LÄN</t>
        </is>
      </c>
      <c r="G210" t="inlineStr">
        <is>
          <t>RONNEBY</t>
        </is>
      </c>
      <c r="H210" t="inlineStr">
        <is>
          <t>Kommuner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45460</v>
      </c>
      <c r="E211" s="1" t="n">
        <v>46304</v>
      </c>
      <c r="F211" t="inlineStr">
        <is>
          <t>BLEKINGE LÄN</t>
        </is>
      </c>
      <c r="G211" t="inlineStr">
        <is>
          <t>RONNEBY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46304</v>
      </c>
      <c r="F212" t="inlineStr">
        <is>
          <t>BLEKINGE LÄN</t>
        </is>
      </c>
      <c r="G212" t="inlineStr">
        <is>
          <t>RONNEBY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46304</v>
      </c>
      <c r="F213" t="inlineStr">
        <is>
          <t>BLEKINGE LÄN</t>
        </is>
      </c>
      <c r="G213" t="inlineStr">
        <is>
          <t>RONNEBY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46304</v>
      </c>
      <c r="F214" t="inlineStr">
        <is>
          <t>BLEKINGE LÄN</t>
        </is>
      </c>
      <c r="G214" t="inlineStr">
        <is>
          <t>RONNEBY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46304</v>
      </c>
      <c r="F215" t="inlineStr">
        <is>
          <t>BLEKINGE LÄN</t>
        </is>
      </c>
      <c r="G215" t="inlineStr">
        <is>
          <t>RONNEBY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46304</v>
      </c>
      <c r="F216" t="inlineStr">
        <is>
          <t>BLEKINGE LÄN</t>
        </is>
      </c>
      <c r="G216" t="inlineStr">
        <is>
          <t>RONNEBY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46304</v>
      </c>
      <c r="F217" t="inlineStr">
        <is>
          <t>BLEKINGE LÄN</t>
        </is>
      </c>
      <c r="G217" t="inlineStr">
        <is>
          <t>RONNEBY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46304</v>
      </c>
      <c r="F218" t="inlineStr">
        <is>
          <t>BLEKINGE LÄN</t>
        </is>
      </c>
      <c r="G218" t="inlineStr">
        <is>
          <t>RONNEBY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46304</v>
      </c>
      <c r="F219" t="inlineStr">
        <is>
          <t>BLEKINGE LÄN</t>
        </is>
      </c>
      <c r="G219" t="inlineStr">
        <is>
          <t>RONNEBY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46304</v>
      </c>
      <c r="F220" t="inlineStr">
        <is>
          <t>BLEKINGE LÄN</t>
        </is>
      </c>
      <c r="G220" t="inlineStr">
        <is>
          <t>RONNEBY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45104</v>
      </c>
      <c r="E221" s="1" t="n">
        <v>46304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46304</v>
      </c>
      <c r="F222" t="inlineStr">
        <is>
          <t>BLEKINGE LÄN</t>
        </is>
      </c>
      <c r="G222" t="inlineStr">
        <is>
          <t>RONNEBY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64459-2023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45280</v>
      </c>
      <c r="E223" s="1" t="n">
        <v>46304</v>
      </c>
      <c r="F223" t="inlineStr">
        <is>
          <t>BLEKINGE LÄN</t>
        </is>
      </c>
      <c r="G223" t="inlineStr">
        <is>
          <t>RONNEBY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64466-2023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46304</v>
      </c>
      <c r="F224" t="inlineStr">
        <is>
          <t>BLEKINGE LÄN</t>
        </is>
      </c>
      <c r="G224" t="inlineStr">
        <is>
          <t>RONNEBY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46304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45932</v>
      </c>
      <c r="E226" s="1" t="n">
        <v>46304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28975-2023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45104</v>
      </c>
      <c r="E227" s="1" t="n">
        <v>46304</v>
      </c>
      <c r="F227" t="inlineStr">
        <is>
          <t>BLEKINGE LÄN</t>
        </is>
      </c>
      <c r="G227" t="inlineStr">
        <is>
          <t>RONNEBY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46304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45111</v>
      </c>
      <c r="E229" s="1" t="n">
        <v>46304</v>
      </c>
      <c r="F229" t="inlineStr">
        <is>
          <t>BLEKINGE LÄN</t>
        </is>
      </c>
      <c r="G229" t="inlineStr">
        <is>
          <t>RONNEBY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46104</v>
      </c>
      <c r="E230" s="1" t="n">
        <v>46304</v>
      </c>
      <c r="F230" t="inlineStr">
        <is>
          <t>BLEKINGE LÄN</t>
        </is>
      </c>
      <c r="G230" t="inlineStr">
        <is>
          <t>RONNEBY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46304</v>
      </c>
      <c r="F231" t="inlineStr">
        <is>
          <t>BLEKINGE LÄN</t>
        </is>
      </c>
      <c r="G231" t="inlineStr">
        <is>
          <t>RONNEBY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44848</v>
      </c>
      <c r="E232" s="1" t="n">
        <v>46304</v>
      </c>
      <c r="F232" t="inlineStr">
        <is>
          <t>BLEKINGE LÄN</t>
        </is>
      </c>
      <c r="G232" t="inlineStr">
        <is>
          <t>RONNEBY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44916</v>
      </c>
      <c r="E233" s="1" t="n">
        <v>46304</v>
      </c>
      <c r="F233" t="inlineStr">
        <is>
          <t>BLEKINGE LÄN</t>
        </is>
      </c>
      <c r="G233" t="inlineStr">
        <is>
          <t>RONNEBY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45387</v>
      </c>
      <c r="E234" s="1" t="n">
        <v>46304</v>
      </c>
      <c r="F234" t="inlineStr">
        <is>
          <t>BLEKINGE LÄN</t>
        </is>
      </c>
      <c r="G234" t="inlineStr">
        <is>
          <t>RONNEBY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46304</v>
      </c>
      <c r="F235" t="inlineStr">
        <is>
          <t>BLEKINGE LÄN</t>
        </is>
      </c>
      <c r="G235" t="inlineStr">
        <is>
          <t>RONNEBY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45505</v>
      </c>
      <c r="E236" s="1" t="n">
        <v>46304</v>
      </c>
      <c r="F236" t="inlineStr">
        <is>
          <t>BLEKINGE LÄN</t>
        </is>
      </c>
      <c r="G236" t="inlineStr">
        <is>
          <t>RONNEBY</t>
        </is>
      </c>
      <c r="H236" t="inlineStr">
        <is>
          <t>Kommuner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46304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46304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54065-2024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45616</v>
      </c>
      <c r="E239" s="1" t="n">
        <v>46304</v>
      </c>
      <c r="F239" t="inlineStr">
        <is>
          <t>BLEKINGE LÄN</t>
        </is>
      </c>
      <c r="G239" t="inlineStr">
        <is>
          <t>RONNEBY</t>
        </is>
      </c>
      <c r="H239" t="inlineStr">
        <is>
          <t>Kommuner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45053</v>
      </c>
      <c r="E240" s="1" t="n">
        <v>46304</v>
      </c>
      <c r="F240" t="inlineStr">
        <is>
          <t>BLEKINGE LÄN</t>
        </is>
      </c>
      <c r="G240" t="inlineStr">
        <is>
          <t>RONNEBY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46304</v>
      </c>
      <c r="F241" t="inlineStr">
        <is>
          <t>BLEKINGE LÄN</t>
        </is>
      </c>
      <c r="G241" t="inlineStr">
        <is>
          <t>RONNEBY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46304</v>
      </c>
      <c r="F242" t="inlineStr">
        <is>
          <t>BLEKINGE LÄN</t>
        </is>
      </c>
      <c r="G242" t="inlineStr">
        <is>
          <t>RONNEBY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19438-2024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46304</v>
      </c>
      <c r="F243" t="inlineStr">
        <is>
          <t>BLEKINGE LÄN</t>
        </is>
      </c>
      <c r="G243" t="inlineStr">
        <is>
          <t>RONNEBY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46304</v>
      </c>
      <c r="F244" t="inlineStr">
        <is>
          <t>BLEKINGE LÄN</t>
        </is>
      </c>
      <c r="G244" t="inlineStr">
        <is>
          <t>RONNEBY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46304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45630</v>
      </c>
      <c r="E246" s="1" t="n">
        <v>46304</v>
      </c>
      <c r="F246" t="inlineStr">
        <is>
          <t>BLEKINGE LÄN</t>
        </is>
      </c>
      <c r="G246" t="inlineStr">
        <is>
          <t>RONNEBY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45630</v>
      </c>
      <c r="E247" s="1" t="n">
        <v>46304</v>
      </c>
      <c r="F247" t="inlineStr">
        <is>
          <t>BLEKINGE LÄN</t>
        </is>
      </c>
      <c r="G247" t="inlineStr">
        <is>
          <t>RONNEBY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46119</v>
      </c>
      <c r="E248" s="1" t="n">
        <v>46304</v>
      </c>
      <c r="F248" t="inlineStr">
        <is>
          <t>BLEKINGE LÄN</t>
        </is>
      </c>
      <c r="G248" t="inlineStr">
        <is>
          <t>RONNEBY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44944</v>
      </c>
      <c r="E249" s="1" t="n">
        <v>46304</v>
      </c>
      <c r="F249" t="inlineStr">
        <is>
          <t>BLEKINGE LÄN</t>
        </is>
      </c>
      <c r="G249" t="inlineStr">
        <is>
          <t>RONNEBY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45019</v>
      </c>
      <c r="E250" s="1" t="n">
        <v>46304</v>
      </c>
      <c r="F250" t="inlineStr">
        <is>
          <t>BLEKINGE LÄN</t>
        </is>
      </c>
      <c r="G250" t="inlineStr">
        <is>
          <t>RONNEBY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46304</v>
      </c>
      <c r="F251" t="inlineStr">
        <is>
          <t>BLEKINGE LÄN</t>
        </is>
      </c>
      <c r="G251" t="inlineStr">
        <is>
          <t>RONNEBY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44756</v>
      </c>
      <c r="E252" s="1" t="n">
        <v>46304</v>
      </c>
      <c r="F252" t="inlineStr">
        <is>
          <t>BLEKINGE LÄN</t>
        </is>
      </c>
      <c r="G252" t="inlineStr">
        <is>
          <t>RONNEBY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46304</v>
      </c>
      <c r="F253" t="inlineStr">
        <is>
          <t>BLEKINGE LÄN</t>
        </is>
      </c>
      <c r="G253" t="inlineStr">
        <is>
          <t>RONNEBY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46304</v>
      </c>
      <c r="F254" t="inlineStr">
        <is>
          <t>BLEKINGE LÄN</t>
        </is>
      </c>
      <c r="G254" t="inlineStr">
        <is>
          <t>RONNEBY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46304</v>
      </c>
      <c r="F255" t="inlineStr">
        <is>
          <t>BLEKINGE LÄN</t>
        </is>
      </c>
      <c r="G255" t="inlineStr">
        <is>
          <t>RONNEBY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45462</v>
      </c>
      <c r="E256" s="1" t="n">
        <v>46304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44966</v>
      </c>
      <c r="E257" s="1" t="n">
        <v>46304</v>
      </c>
      <c r="F257" t="inlineStr">
        <is>
          <t>BLEKINGE LÄN</t>
        </is>
      </c>
      <c r="G257" t="inlineStr">
        <is>
          <t>RONNEBY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62932-2023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45272</v>
      </c>
      <c r="E258" s="1" t="n">
        <v>46304</v>
      </c>
      <c r="F258" t="inlineStr">
        <is>
          <t>BLEKINGE LÄN</t>
        </is>
      </c>
      <c r="G258" t="inlineStr">
        <is>
          <t>RONNEBY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45299</v>
      </c>
      <c r="E259" s="1" t="n">
        <v>46304</v>
      </c>
      <c r="F259" t="inlineStr">
        <is>
          <t>BLEKINGE LÄN</t>
        </is>
      </c>
      <c r="G259" t="inlineStr">
        <is>
          <t>RONNEBY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56139-2025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46304</v>
      </c>
      <c r="F260" t="inlineStr">
        <is>
          <t>BLEKINGE LÄN</t>
        </is>
      </c>
      <c r="G260" t="inlineStr">
        <is>
          <t>RONNEBY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46304</v>
      </c>
      <c r="F261" t="inlineStr">
        <is>
          <t>BLEKINGE LÄN</t>
        </is>
      </c>
      <c r="G261" t="inlineStr">
        <is>
          <t>RONNEBY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46304</v>
      </c>
      <c r="F262" t="inlineStr">
        <is>
          <t>BLEKINGE LÄN</t>
        </is>
      </c>
      <c r="G262" t="inlineStr">
        <is>
          <t>RONNEBY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12767-2023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45001</v>
      </c>
      <c r="E263" s="1" t="n">
        <v>46304</v>
      </c>
      <c r="F263" t="inlineStr">
        <is>
          <t>BLEKINGE LÄN</t>
        </is>
      </c>
      <c r="G263" t="inlineStr">
        <is>
          <t>RONNEBY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46304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46304</v>
      </c>
      <c r="F265" t="inlineStr">
        <is>
          <t>BLEKINGE LÄN</t>
        </is>
      </c>
      <c r="G265" t="inlineStr">
        <is>
          <t>RONNEBY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45505</v>
      </c>
      <c r="E266" s="1" t="n">
        <v>46304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46304</v>
      </c>
      <c r="F267" t="inlineStr">
        <is>
          <t>BLEKINGE LÄN</t>
        </is>
      </c>
      <c r="G267" t="inlineStr">
        <is>
          <t>RONNEBY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46304</v>
      </c>
      <c r="F268" t="inlineStr">
        <is>
          <t>BLEKINGE LÄN</t>
        </is>
      </c>
      <c r="G268" t="inlineStr">
        <is>
          <t>RONNEBY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46304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46304</v>
      </c>
      <c r="F270" t="inlineStr">
        <is>
          <t>BLEKINGE LÄN</t>
        </is>
      </c>
      <c r="G270" t="inlineStr">
        <is>
          <t>RONNEBY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46304</v>
      </c>
      <c r="F271" t="inlineStr">
        <is>
          <t>BLEKINGE LÄN</t>
        </is>
      </c>
      <c r="G271" t="inlineStr">
        <is>
          <t>RONNEBY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46304</v>
      </c>
      <c r="F272" t="inlineStr">
        <is>
          <t>BLEKINGE LÄN</t>
        </is>
      </c>
      <c r="G272" t="inlineStr">
        <is>
          <t>RONNEBY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61730-2022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46304</v>
      </c>
      <c r="F273" t="inlineStr">
        <is>
          <t>BLEKINGE LÄN</t>
        </is>
      </c>
      <c r="G273" t="inlineStr">
        <is>
          <t>RONNEBY</t>
        </is>
      </c>
      <c r="I273" t="n">
        <v>9.6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46304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46304</v>
      </c>
      <c r="F275" t="inlineStr">
        <is>
          <t>BLEKINGE LÄN</t>
        </is>
      </c>
      <c r="G275" t="inlineStr">
        <is>
          <t>RONNEBY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46304</v>
      </c>
      <c r="F276" t="inlineStr">
        <is>
          <t>BLEKINGE LÄN</t>
        </is>
      </c>
      <c r="G276" t="inlineStr">
        <is>
          <t>RONNEBY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46304</v>
      </c>
      <c r="F277" t="inlineStr">
        <is>
          <t>BLEKINGE LÄN</t>
        </is>
      </c>
      <c r="G277" t="inlineStr">
        <is>
          <t>RONNEBY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46304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46304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58648-2025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45986</v>
      </c>
      <c r="E280" s="1" t="n">
        <v>46304</v>
      </c>
      <c r="F280" t="inlineStr">
        <is>
          <t>BLEKINGE LÄN</t>
        </is>
      </c>
      <c r="G280" t="inlineStr">
        <is>
          <t>RONNEBY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46304</v>
      </c>
      <c r="F281" t="inlineStr">
        <is>
          <t>BLEKINGE LÄN</t>
        </is>
      </c>
      <c r="G281" t="inlineStr">
        <is>
          <t>RONNEBY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46304</v>
      </c>
      <c r="F282" t="inlineStr">
        <is>
          <t>BLEKINGE LÄN</t>
        </is>
      </c>
      <c r="G282" t="inlineStr">
        <is>
          <t>RONNEBY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45360</v>
      </c>
      <c r="E283" s="1" t="n">
        <v>46304</v>
      </c>
      <c r="F283" t="inlineStr">
        <is>
          <t>BLEKINGE LÄN</t>
        </is>
      </c>
      <c r="G283" t="inlineStr">
        <is>
          <t>RONNEBY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44565</v>
      </c>
      <c r="E284" s="1" t="n">
        <v>46304</v>
      </c>
      <c r="F284" t="inlineStr">
        <is>
          <t>BLEKINGE LÄN</t>
        </is>
      </c>
      <c r="G284" t="inlineStr">
        <is>
          <t>RONNEBY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46304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46304</v>
      </c>
      <c r="F286" t="inlineStr">
        <is>
          <t>BLEKINGE LÄN</t>
        </is>
      </c>
      <c r="G286" t="inlineStr">
        <is>
          <t>RONNEBY</t>
        </is>
      </c>
      <c r="I286" t="n">
        <v>14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44586</v>
      </c>
      <c r="E287" s="1" t="n">
        <v>46304</v>
      </c>
      <c r="F287" t="inlineStr">
        <is>
          <t>BLEKINGE LÄN</t>
        </is>
      </c>
      <c r="G287" t="inlineStr">
        <is>
          <t>RONNEBY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46304</v>
      </c>
      <c r="F288" t="inlineStr">
        <is>
          <t>BLEKINGE LÄN</t>
        </is>
      </c>
      <c r="G288" t="inlineStr">
        <is>
          <t>RONNEBY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46304</v>
      </c>
      <c r="F289" t="inlineStr">
        <is>
          <t>BLEKINGE LÄN</t>
        </is>
      </c>
      <c r="G289" t="inlineStr">
        <is>
          <t>RONNEBY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44754</v>
      </c>
      <c r="E290" s="1" t="n">
        <v>46304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29434-2022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44753</v>
      </c>
      <c r="E291" s="1" t="n">
        <v>46304</v>
      </c>
      <c r="F291" t="inlineStr">
        <is>
          <t>BLEKINGE LÄN</t>
        </is>
      </c>
      <c r="G291" t="inlineStr">
        <is>
          <t>RONNEBY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46304</v>
      </c>
      <c r="F292" t="inlineStr">
        <is>
          <t>BLEKINGE LÄN</t>
        </is>
      </c>
      <c r="G292" t="inlineStr">
        <is>
          <t>RONNEBY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39466-2023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46304</v>
      </c>
      <c r="F293" t="inlineStr">
        <is>
          <t>BLEKINGE LÄN</t>
        </is>
      </c>
      <c r="G293" t="inlineStr">
        <is>
          <t>RONNEBY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45001</v>
      </c>
      <c r="E294" s="1" t="n">
        <v>46304</v>
      </c>
      <c r="F294" t="inlineStr">
        <is>
          <t>BLEKINGE LÄN</t>
        </is>
      </c>
      <c r="G294" t="inlineStr">
        <is>
          <t>RONNEBY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46304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46304</v>
      </c>
      <c r="F296" t="inlineStr">
        <is>
          <t>BLEKINGE LÄN</t>
        </is>
      </c>
      <c r="G296" t="inlineStr">
        <is>
          <t>RONNEBY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45855</v>
      </c>
      <c r="E297" s="1" t="n">
        <v>46304</v>
      </c>
      <c r="F297" t="inlineStr">
        <is>
          <t>BLEKINGE LÄN</t>
        </is>
      </c>
      <c r="G297" t="inlineStr">
        <is>
          <t>RONNEBY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46304</v>
      </c>
      <c r="F298" t="inlineStr">
        <is>
          <t>BLEKINGE LÄN</t>
        </is>
      </c>
      <c r="G298" t="inlineStr">
        <is>
          <t>RONNEBY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45002</v>
      </c>
      <c r="E299" s="1" t="n">
        <v>46304</v>
      </c>
      <c r="F299" t="inlineStr">
        <is>
          <t>BLEKINGE LÄN</t>
        </is>
      </c>
      <c r="G299" t="inlineStr">
        <is>
          <t>RONNEBY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46304</v>
      </c>
      <c r="F300" t="inlineStr">
        <is>
          <t>BLEKINGE LÄN</t>
        </is>
      </c>
      <c r="G300" t="inlineStr">
        <is>
          <t>RONNEBY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46304</v>
      </c>
      <c r="F301" t="inlineStr">
        <is>
          <t>BLEKINGE LÄN</t>
        </is>
      </c>
      <c r="G301" t="inlineStr">
        <is>
          <t>RONNEBY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46304</v>
      </c>
      <c r="F302" t="inlineStr">
        <is>
          <t>BLEKINGE LÄN</t>
        </is>
      </c>
      <c r="G302" t="inlineStr">
        <is>
          <t>RONNEBY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44992</v>
      </c>
      <c r="E303" s="1" t="n">
        <v>46304</v>
      </c>
      <c r="F303" t="inlineStr">
        <is>
          <t>BLEKINGE LÄN</t>
        </is>
      </c>
      <c r="G303" t="inlineStr">
        <is>
          <t>RONNEBY</t>
        </is>
      </c>
      <c r="H303" t="inlineStr">
        <is>
          <t>Övriga Aktiebolag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46304</v>
      </c>
      <c r="F304" t="inlineStr">
        <is>
          <t>BLEKINGE LÄN</t>
        </is>
      </c>
      <c r="G304" t="inlineStr">
        <is>
          <t>RONNEBY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46304</v>
      </c>
      <c r="F305" t="inlineStr">
        <is>
          <t>BLEKINGE LÄN</t>
        </is>
      </c>
      <c r="G305" t="inlineStr">
        <is>
          <t>RONNEBY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46304</v>
      </c>
      <c r="F306" t="inlineStr">
        <is>
          <t>BLEKINGE LÄN</t>
        </is>
      </c>
      <c r="G306" t="inlineStr">
        <is>
          <t>RONNEBY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45001</v>
      </c>
      <c r="E307" s="1" t="n">
        <v>46304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45036</v>
      </c>
      <c r="E308" s="1" t="n">
        <v>46304</v>
      </c>
      <c r="F308" t="inlineStr">
        <is>
          <t>BLEKINGE LÄN</t>
        </is>
      </c>
      <c r="G308" t="inlineStr">
        <is>
          <t>RONNEBY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46304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46304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46304</v>
      </c>
      <c r="F311" t="inlineStr">
        <is>
          <t>BLEKINGE LÄN</t>
        </is>
      </c>
      <c r="G311" t="inlineStr">
        <is>
          <t>RONNEBY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46304</v>
      </c>
      <c r="F312" t="inlineStr">
        <is>
          <t>BLEKINGE LÄN</t>
        </is>
      </c>
      <c r="G312" t="inlineStr">
        <is>
          <t>RONNEBY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62465-2025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46007</v>
      </c>
      <c r="E313" s="1" t="n">
        <v>46304</v>
      </c>
      <c r="F313" t="inlineStr">
        <is>
          <t>BLEKINGE LÄN</t>
        </is>
      </c>
      <c r="G313" t="inlineStr">
        <is>
          <t>RONNEBY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45670</v>
      </c>
      <c r="E314" s="1" t="n">
        <v>46304</v>
      </c>
      <c r="F314" t="inlineStr">
        <is>
          <t>BLEKINGE LÄN</t>
        </is>
      </c>
      <c r="G314" t="inlineStr">
        <is>
          <t>RONNEBY</t>
        </is>
      </c>
      <c r="I314" t="n">
        <v>12.6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46304</v>
      </c>
      <c r="F315" t="inlineStr">
        <is>
          <t>BLEKINGE LÄN</t>
        </is>
      </c>
      <c r="G315" t="inlineStr">
        <is>
          <t>RONNEBY</t>
        </is>
      </c>
      <c r="H315" t="inlineStr">
        <is>
          <t>Övriga Aktiebolag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46304</v>
      </c>
      <c r="F316" t="inlineStr">
        <is>
          <t>BLEKINGE LÄN</t>
        </is>
      </c>
      <c r="G316" t="inlineStr">
        <is>
          <t>RONNEBY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46304</v>
      </c>
      <c r="F317" t="inlineStr">
        <is>
          <t>BLEKINGE LÄN</t>
        </is>
      </c>
      <c r="G317" t="inlineStr">
        <is>
          <t>RONNEBY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45891</v>
      </c>
      <c r="E318" s="1" t="n">
        <v>46304</v>
      </c>
      <c r="F318" t="inlineStr">
        <is>
          <t>BLEKINGE LÄN</t>
        </is>
      </c>
      <c r="G318" t="inlineStr">
        <is>
          <t>RONNEBY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45891</v>
      </c>
      <c r="E319" s="1" t="n">
        <v>46304</v>
      </c>
      <c r="F319" t="inlineStr">
        <is>
          <t>BLEKINGE LÄN</t>
        </is>
      </c>
      <c r="G319" t="inlineStr">
        <is>
          <t>RONNEBY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45394</v>
      </c>
      <c r="E320" s="1" t="n">
        <v>46304</v>
      </c>
      <c r="F320" t="inlineStr">
        <is>
          <t>BLEKINGE LÄN</t>
        </is>
      </c>
      <c r="G320" t="inlineStr">
        <is>
          <t>RONNEBY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45673</v>
      </c>
      <c r="E321" s="1" t="n">
        <v>46304</v>
      </c>
      <c r="F321" t="inlineStr">
        <is>
          <t>BLEKINGE LÄN</t>
        </is>
      </c>
      <c r="G321" t="inlineStr">
        <is>
          <t>RONNEBY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45581</v>
      </c>
      <c r="E322" s="1" t="n">
        <v>46304</v>
      </c>
      <c r="F322" t="inlineStr">
        <is>
          <t>BLEKINGE LÄN</t>
        </is>
      </c>
      <c r="G322" t="inlineStr">
        <is>
          <t>RONNEBY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45440</v>
      </c>
      <c r="E323" s="1" t="n">
        <v>46304</v>
      </c>
      <c r="F323" t="inlineStr">
        <is>
          <t>BLEKINGE LÄN</t>
        </is>
      </c>
      <c r="G323" t="inlineStr">
        <is>
          <t>RONNEBY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45402</v>
      </c>
      <c r="E324" s="1" t="n">
        <v>46304</v>
      </c>
      <c r="F324" t="inlineStr">
        <is>
          <t>BLEKINGE LÄN</t>
        </is>
      </c>
      <c r="G324" t="inlineStr">
        <is>
          <t>RONNEBY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45381</v>
      </c>
      <c r="E325" s="1" t="n">
        <v>46304</v>
      </c>
      <c r="F325" t="inlineStr">
        <is>
          <t>BLEKINGE LÄN</t>
        </is>
      </c>
      <c r="G325" t="inlineStr">
        <is>
          <t>RONNEBY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46304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46304</v>
      </c>
      <c r="F327" t="inlineStr">
        <is>
          <t>BLEKINGE LÄN</t>
        </is>
      </c>
      <c r="G327" t="inlineStr">
        <is>
          <t>RONNEBY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45354</v>
      </c>
      <c r="E328" s="1" t="n">
        <v>46304</v>
      </c>
      <c r="F328" t="inlineStr">
        <is>
          <t>BLEKINGE LÄN</t>
        </is>
      </c>
      <c r="G328" t="inlineStr">
        <is>
          <t>RONNEBY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45821</v>
      </c>
      <c r="E329" s="1" t="n">
        <v>46304</v>
      </c>
      <c r="F329" t="inlineStr">
        <is>
          <t>BLEKINGE LÄN</t>
        </is>
      </c>
      <c r="G329" t="inlineStr">
        <is>
          <t>RONNEBY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54248-2025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45964</v>
      </c>
      <c r="E330" s="1" t="n">
        <v>46304</v>
      </c>
      <c r="F330" t="inlineStr">
        <is>
          <t>BLEKINGE LÄN</t>
        </is>
      </c>
      <c r="G330" t="inlineStr">
        <is>
          <t>RONNEBY</t>
        </is>
      </c>
      <c r="H330" t="inlineStr">
        <is>
          <t>Kommuner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46304</v>
      </c>
      <c r="F331" t="inlineStr">
        <is>
          <t>BLEKINGE LÄN</t>
        </is>
      </c>
      <c r="G331" t="inlineStr">
        <is>
          <t>RONNEBY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45009</v>
      </c>
      <c r="E332" s="1" t="n">
        <v>46304</v>
      </c>
      <c r="F332" t="inlineStr">
        <is>
          <t>BLEKINGE LÄN</t>
        </is>
      </c>
      <c r="G332" t="inlineStr">
        <is>
          <t>RONNEBY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46304</v>
      </c>
      <c r="F333" t="inlineStr">
        <is>
          <t>BLEKINGE LÄN</t>
        </is>
      </c>
      <c r="G333" t="inlineStr">
        <is>
          <t>RONNEBY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45702</v>
      </c>
      <c r="E334" s="1" t="n">
        <v>46304</v>
      </c>
      <c r="F334" t="inlineStr">
        <is>
          <t>BLEKINGE LÄN</t>
        </is>
      </c>
      <c r="G334" t="inlineStr">
        <is>
          <t>RONNEBY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46304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45588</v>
      </c>
      <c r="E336" s="1" t="n">
        <v>46304</v>
      </c>
      <c r="F336" t="inlineStr">
        <is>
          <t>BLEKINGE LÄN</t>
        </is>
      </c>
      <c r="G336" t="inlineStr">
        <is>
          <t>RONNEBY</t>
        </is>
      </c>
      <c r="H336" t="inlineStr">
        <is>
          <t>Kommuner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46304</v>
      </c>
      <c r="F337" t="inlineStr">
        <is>
          <t>BLEKINGE LÄN</t>
        </is>
      </c>
      <c r="G337" t="inlineStr">
        <is>
          <t>RONNEBY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46304</v>
      </c>
      <c r="F338" t="inlineStr">
        <is>
          <t>BLEKINGE LÄN</t>
        </is>
      </c>
      <c r="G338" t="inlineStr">
        <is>
          <t>RONNEBY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45602</v>
      </c>
      <c r="E339" s="1" t="n">
        <v>46304</v>
      </c>
      <c r="F339" t="inlineStr">
        <is>
          <t>BLEKINGE LÄN</t>
        </is>
      </c>
      <c r="G339" t="inlineStr">
        <is>
          <t>RONNEBY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45889</v>
      </c>
      <c r="E340" s="1" t="n">
        <v>46304</v>
      </c>
      <c r="F340" t="inlineStr">
        <is>
          <t>BLEKINGE LÄN</t>
        </is>
      </c>
      <c r="G340" t="inlineStr">
        <is>
          <t>RONNEBY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46304</v>
      </c>
      <c r="F341" t="inlineStr">
        <is>
          <t>BLEKINGE LÄN</t>
        </is>
      </c>
      <c r="G341" t="inlineStr">
        <is>
          <t>RONNEBY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46304</v>
      </c>
      <c r="F342" t="inlineStr">
        <is>
          <t>BLEKINGE LÄN</t>
        </is>
      </c>
      <c r="G342" t="inlineStr">
        <is>
          <t>RONNEBY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46304</v>
      </c>
      <c r="F343" t="inlineStr">
        <is>
          <t>BLEKINGE LÄN</t>
        </is>
      </c>
      <c r="G343" t="inlineStr">
        <is>
          <t>RONNEBY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45117</v>
      </c>
      <c r="E344" s="1" t="n">
        <v>46304</v>
      </c>
      <c r="F344" t="inlineStr">
        <is>
          <t>BLEKINGE LÄN</t>
        </is>
      </c>
      <c r="G344" t="inlineStr">
        <is>
          <t>RONNEBY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45480</v>
      </c>
      <c r="E345" s="1" t="n">
        <v>46304</v>
      </c>
      <c r="F345" t="inlineStr">
        <is>
          <t>BLEKINGE LÄN</t>
        </is>
      </c>
      <c r="G345" t="inlineStr">
        <is>
          <t>RONNEBY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46304</v>
      </c>
      <c r="F346" t="inlineStr">
        <is>
          <t>BLEKINGE LÄN</t>
        </is>
      </c>
      <c r="G346" t="inlineStr">
        <is>
          <t>RONNEBY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45327</v>
      </c>
      <c r="E347" s="1" t="n">
        <v>46304</v>
      </c>
      <c r="F347" t="inlineStr">
        <is>
          <t>BLEKINGE LÄN</t>
        </is>
      </c>
      <c r="G347" t="inlineStr">
        <is>
          <t>RONNEBY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25077-2022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44729</v>
      </c>
      <c r="E348" s="1" t="n">
        <v>46304</v>
      </c>
      <c r="F348" t="inlineStr">
        <is>
          <t>BLEKINGE LÄN</t>
        </is>
      </c>
      <c r="G348" t="inlineStr">
        <is>
          <t>RONNEBY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46046</v>
      </c>
      <c r="E349" s="1" t="n">
        <v>46304</v>
      </c>
      <c r="F349" t="inlineStr">
        <is>
          <t>BLEKINGE LÄN</t>
        </is>
      </c>
      <c r="G349" t="inlineStr">
        <is>
          <t>RONNEBY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46304</v>
      </c>
      <c r="F350" t="inlineStr">
        <is>
          <t>BLEKINGE LÄN</t>
        </is>
      </c>
      <c r="G350" t="inlineStr">
        <is>
          <t>RONNEBY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46304</v>
      </c>
      <c r="F351" t="inlineStr">
        <is>
          <t>BLEKINGE LÄN</t>
        </is>
      </c>
      <c r="G351" t="inlineStr">
        <is>
          <t>RONNEBY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46304</v>
      </c>
      <c r="F352" t="inlineStr">
        <is>
          <t>BLEKINGE LÄN</t>
        </is>
      </c>
      <c r="G352" t="inlineStr">
        <is>
          <t>RONNEBY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45619</v>
      </c>
      <c r="E353" s="1" t="n">
        <v>46304</v>
      </c>
      <c r="F353" t="inlineStr">
        <is>
          <t>BLEKINGE LÄN</t>
        </is>
      </c>
      <c r="G353" t="inlineStr">
        <is>
          <t>RONNEBY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46304</v>
      </c>
      <c r="F354" t="inlineStr">
        <is>
          <t>BLEKINGE LÄN</t>
        </is>
      </c>
      <c r="G354" t="inlineStr">
        <is>
          <t>RONNEBY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46304</v>
      </c>
      <c r="F355" t="inlineStr">
        <is>
          <t>BLEKINGE LÄN</t>
        </is>
      </c>
      <c r="G355" t="inlineStr">
        <is>
          <t>RONNEBY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46304</v>
      </c>
      <c r="F356" t="inlineStr">
        <is>
          <t>BLEKINGE LÄN</t>
        </is>
      </c>
      <c r="G356" t="inlineStr">
        <is>
          <t>RONNEBY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46304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46304</v>
      </c>
      <c r="F358" t="inlineStr">
        <is>
          <t>BLEKINGE LÄN</t>
        </is>
      </c>
      <c r="G358" t="inlineStr">
        <is>
          <t>RONNEBY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46304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46304</v>
      </c>
      <c r="F360" t="inlineStr">
        <is>
          <t>BLEKINGE LÄN</t>
        </is>
      </c>
      <c r="G360" t="inlineStr">
        <is>
          <t>RONNEBY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46304</v>
      </c>
      <c r="F361" t="inlineStr">
        <is>
          <t>BLEKINGE LÄN</t>
        </is>
      </c>
      <c r="G361" t="inlineStr">
        <is>
          <t>RONNEBY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46304</v>
      </c>
      <c r="F362" t="inlineStr">
        <is>
          <t>BLEKINGE LÄN</t>
        </is>
      </c>
      <c r="G362" t="inlineStr">
        <is>
          <t>RONNEBY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46304</v>
      </c>
      <c r="F363" t="inlineStr">
        <is>
          <t>BLEKINGE LÄN</t>
        </is>
      </c>
      <c r="G363" t="inlineStr">
        <is>
          <t>RONNEBY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8747-2026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46304</v>
      </c>
      <c r="F364" t="inlineStr">
        <is>
          <t>BLEKINGE LÄN</t>
        </is>
      </c>
      <c r="G364" t="inlineStr">
        <is>
          <t>RONNEBY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32076-2022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44778</v>
      </c>
      <c r="E365" s="1" t="n">
        <v>46304</v>
      </c>
      <c r="F365" t="inlineStr">
        <is>
          <t>BLEKINGE LÄN</t>
        </is>
      </c>
      <c r="G365" t="inlineStr">
        <is>
          <t>RONNEBY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59840-2021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46304</v>
      </c>
      <c r="F366" t="inlineStr">
        <is>
          <t>BLEKINGE LÄN</t>
        </is>
      </c>
      <c r="G366" t="inlineStr">
        <is>
          <t>RONNEBY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46304</v>
      </c>
      <c r="F367" t="inlineStr">
        <is>
          <t>BLEKINGE LÄN</t>
        </is>
      </c>
      <c r="G367" t="inlineStr">
        <is>
          <t>RONNEBY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44973</v>
      </c>
      <c r="E368" s="1" t="n">
        <v>46304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9.199999999999999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46304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6510-2023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46304</v>
      </c>
      <c r="F370" t="inlineStr">
        <is>
          <t>BLEKINGE LÄN</t>
        </is>
      </c>
      <c r="G370" t="inlineStr">
        <is>
          <t>RONNEBY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58618-2021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44489</v>
      </c>
      <c r="E371" s="1" t="n">
        <v>46304</v>
      </c>
      <c r="F371" t="inlineStr">
        <is>
          <t>BLEKINGE LÄN</t>
        </is>
      </c>
      <c r="G371" t="inlineStr">
        <is>
          <t>RONNEBY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46304</v>
      </c>
      <c r="F372" t="inlineStr">
        <is>
          <t>BLEKINGE LÄN</t>
        </is>
      </c>
      <c r="G372" t="inlineStr">
        <is>
          <t>RONNEBY</t>
        </is>
      </c>
      <c r="H372" t="inlineStr">
        <is>
          <t>Kyrkan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46304</v>
      </c>
      <c r="F373" t="inlineStr">
        <is>
          <t>BLEKINGE LÄN</t>
        </is>
      </c>
      <c r="G373" t="inlineStr">
        <is>
          <t>RONNEBY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46304</v>
      </c>
      <c r="F374" t="inlineStr">
        <is>
          <t>BLEKINGE LÄN</t>
        </is>
      </c>
      <c r="G374" t="inlineStr">
        <is>
          <t>RONNEBY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46304</v>
      </c>
      <c r="F375" t="inlineStr">
        <is>
          <t>BLEKINGE LÄN</t>
        </is>
      </c>
      <c r="G375" t="inlineStr">
        <is>
          <t>RONNEBY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30507-2022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44762</v>
      </c>
      <c r="E376" s="1" t="n">
        <v>46304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46078</v>
      </c>
      <c r="E377" s="1" t="n">
        <v>46304</v>
      </c>
      <c r="F377" t="inlineStr">
        <is>
          <t>BLEKINGE LÄN</t>
        </is>
      </c>
      <c r="G377" t="inlineStr">
        <is>
          <t>RONNEBY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46304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46304</v>
      </c>
      <c r="F379" t="inlineStr">
        <is>
          <t>BLEKINGE LÄN</t>
        </is>
      </c>
      <c r="G379" t="inlineStr">
        <is>
          <t>RONNEBY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11112-2026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46304</v>
      </c>
      <c r="F380" t="inlineStr">
        <is>
          <t>BLEKINGE LÄN</t>
        </is>
      </c>
      <c r="G380" t="inlineStr">
        <is>
          <t>RONNEBY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44739</v>
      </c>
      <c r="E381" s="1" t="n">
        <v>46304</v>
      </c>
      <c r="F381" t="inlineStr">
        <is>
          <t>BLEKINGE LÄN</t>
        </is>
      </c>
      <c r="G381" t="inlineStr">
        <is>
          <t>RONNEBY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44753</v>
      </c>
      <c r="E382" s="1" t="n">
        <v>46304</v>
      </c>
      <c r="F382" t="inlineStr">
        <is>
          <t>BLEKINGE LÄN</t>
        </is>
      </c>
      <c r="G382" t="inlineStr">
        <is>
          <t>RONNEBY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44862</v>
      </c>
      <c r="E383" s="1" t="n">
        <v>46304</v>
      </c>
      <c r="F383" t="inlineStr">
        <is>
          <t>BLEKINGE LÄN</t>
        </is>
      </c>
      <c r="G383" t="inlineStr">
        <is>
          <t>RONNEBY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45470</v>
      </c>
      <c r="E384" s="1" t="n">
        <v>46304</v>
      </c>
      <c r="F384" t="inlineStr">
        <is>
          <t>BLEKINGE LÄN</t>
        </is>
      </c>
      <c r="G384" t="inlineStr">
        <is>
          <t>RONNEBY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45086</v>
      </c>
      <c r="E385" s="1" t="n">
        <v>46304</v>
      </c>
      <c r="F385" t="inlineStr">
        <is>
          <t>BLEKINGE LÄN</t>
        </is>
      </c>
      <c r="G385" t="inlineStr">
        <is>
          <t>RONNEBY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45310</v>
      </c>
      <c r="E386" s="1" t="n">
        <v>46304</v>
      </c>
      <c r="F386" t="inlineStr">
        <is>
          <t>BLEKINGE LÄN</t>
        </is>
      </c>
      <c r="G386" t="inlineStr">
        <is>
          <t>RONNEBY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45040</v>
      </c>
      <c r="E387" s="1" t="n">
        <v>46304</v>
      </c>
      <c r="F387" t="inlineStr">
        <is>
          <t>BLEKINGE LÄN</t>
        </is>
      </c>
      <c r="G387" t="inlineStr">
        <is>
          <t>RONNEBY</t>
        </is>
      </c>
      <c r="I387" t="n">
        <v>11.5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45757</v>
      </c>
      <c r="E388" s="1" t="n">
        <v>46304</v>
      </c>
      <c r="F388" t="inlineStr">
        <is>
          <t>BLEKINGE LÄN</t>
        </is>
      </c>
      <c r="G388" t="inlineStr">
        <is>
          <t>RONNEBY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41875-2022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44829</v>
      </c>
      <c r="E389" s="1" t="n">
        <v>46304</v>
      </c>
      <c r="F389" t="inlineStr">
        <is>
          <t>BLEKINGE LÄN</t>
        </is>
      </c>
      <c r="G389" t="inlineStr">
        <is>
          <t>RONNEBY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46147</v>
      </c>
      <c r="E390" s="1" t="n">
        <v>46304</v>
      </c>
      <c r="F390" t="inlineStr">
        <is>
          <t>BLEKINGE LÄN</t>
        </is>
      </c>
      <c r="G390" t="inlineStr">
        <is>
          <t>RONNEBY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44956</v>
      </c>
      <c r="E391" s="1" t="n">
        <v>46304</v>
      </c>
      <c r="F391" t="inlineStr">
        <is>
          <t>BLEKINGE LÄN</t>
        </is>
      </c>
      <c r="G391" t="inlineStr">
        <is>
          <t>RONNEBY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46304</v>
      </c>
      <c r="F392" t="inlineStr">
        <is>
          <t>BLEKINGE LÄN</t>
        </is>
      </c>
      <c r="G392" t="inlineStr">
        <is>
          <t>RONNEBY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46304</v>
      </c>
      <c r="F393" t="inlineStr">
        <is>
          <t>BLEKINGE LÄN</t>
        </is>
      </c>
      <c r="G393" t="inlineStr">
        <is>
          <t>RONNEBY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46304</v>
      </c>
      <c r="F394" t="inlineStr">
        <is>
          <t>BLEKINGE LÄN</t>
        </is>
      </c>
      <c r="G394" t="inlineStr">
        <is>
          <t>RONNEBY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54532-2022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44882</v>
      </c>
      <c r="E395" s="1" t="n">
        <v>46304</v>
      </c>
      <c r="F395" t="inlineStr">
        <is>
          <t>BLEKINGE LÄN</t>
        </is>
      </c>
      <c r="G395" t="inlineStr">
        <is>
          <t>RONNEBY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36202-2024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45534</v>
      </c>
      <c r="E396" s="1" t="n">
        <v>46304</v>
      </c>
      <c r="F396" t="inlineStr">
        <is>
          <t>BLEKINGE LÄN</t>
        </is>
      </c>
      <c r="G396" t="inlineStr">
        <is>
          <t>RONNEBY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56592-2022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44893</v>
      </c>
      <c r="E397" s="1" t="n">
        <v>46304</v>
      </c>
      <c r="F397" t="inlineStr">
        <is>
          <t>BLEKINGE LÄN</t>
        </is>
      </c>
      <c r="G397" t="inlineStr">
        <is>
          <t>RONNEBY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52637-2024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45610</v>
      </c>
      <c r="E398" s="1" t="n">
        <v>46304</v>
      </c>
      <c r="F398" t="inlineStr">
        <is>
          <t>BLEKINGE LÄN</t>
        </is>
      </c>
      <c r="G398" t="inlineStr">
        <is>
          <t>RONNEBY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44972</v>
      </c>
      <c r="E399" s="1" t="n">
        <v>46304</v>
      </c>
      <c r="F399" t="inlineStr">
        <is>
          <t>BLEKINGE LÄN</t>
        </is>
      </c>
      <c r="G399" t="inlineStr">
        <is>
          <t>RONNEBY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54536-2022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44882</v>
      </c>
      <c r="E400" s="1" t="n">
        <v>46304</v>
      </c>
      <c r="F400" t="inlineStr">
        <is>
          <t>BLEKINGE LÄN</t>
        </is>
      </c>
      <c r="G400" t="inlineStr">
        <is>
          <t>RONNEBY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45009</v>
      </c>
      <c r="E401" s="1" t="n">
        <v>46304</v>
      </c>
      <c r="F401" t="inlineStr">
        <is>
          <t>BLEKINGE LÄN</t>
        </is>
      </c>
      <c r="G401" t="inlineStr">
        <is>
          <t>RONNEBY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45062</v>
      </c>
      <c r="E402" s="1" t="n">
        <v>46304</v>
      </c>
      <c r="F402" t="inlineStr">
        <is>
          <t>BLEKINGE LÄN</t>
        </is>
      </c>
      <c r="G402" t="inlineStr">
        <is>
          <t>RONNEBY</t>
        </is>
      </c>
      <c r="H402" t="inlineStr">
        <is>
          <t>Kommuner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46304</v>
      </c>
      <c r="F403" t="inlineStr">
        <is>
          <t>BLEKINGE LÄN</t>
        </is>
      </c>
      <c r="G403" t="inlineStr">
        <is>
          <t>RONNEBY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6819-2024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45342</v>
      </c>
      <c r="E404" s="1" t="n">
        <v>46304</v>
      </c>
      <c r="F404" t="inlineStr">
        <is>
          <t>BLEKINGE LÄN</t>
        </is>
      </c>
      <c r="G404" t="inlineStr">
        <is>
          <t>RONNEBY</t>
        </is>
      </c>
      <c r="I404" t="n">
        <v>15.2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33535-2025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45841</v>
      </c>
      <c r="E405" s="1" t="n">
        <v>46304</v>
      </c>
      <c r="F405" t="inlineStr">
        <is>
          <t>BLEKINGE LÄN</t>
        </is>
      </c>
      <c r="G405" t="inlineStr">
        <is>
          <t>RONNEBY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22507-2022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44713</v>
      </c>
      <c r="E406" s="1" t="n">
        <v>46304</v>
      </c>
      <c r="F406" t="inlineStr">
        <is>
          <t>BLEKINGE LÄN</t>
        </is>
      </c>
      <c r="G406" t="inlineStr">
        <is>
          <t>RONNEBY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45646</v>
      </c>
      <c r="E407" s="1" t="n">
        <v>46304</v>
      </c>
      <c r="F407" t="inlineStr">
        <is>
          <t>BLEKINGE LÄN</t>
        </is>
      </c>
      <c r="G407" t="inlineStr">
        <is>
          <t>RONNEBY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45426</v>
      </c>
      <c r="E408" s="1" t="n">
        <v>46304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47781-2024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46304</v>
      </c>
      <c r="F409" t="inlineStr">
        <is>
          <t>BLEKINGE LÄN</t>
        </is>
      </c>
      <c r="G409" t="inlineStr">
        <is>
          <t>RONNEBY</t>
        </is>
      </c>
      <c r="H409" t="inlineStr">
        <is>
          <t>Kommuner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45194</v>
      </c>
      <c r="E410" s="1" t="n">
        <v>46304</v>
      </c>
      <c r="F410" t="inlineStr">
        <is>
          <t>BLEKINGE LÄN</t>
        </is>
      </c>
      <c r="G410" t="inlineStr">
        <is>
          <t>RONNEBY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23382-2026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46304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39032-2022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44817</v>
      </c>
      <c r="E412" s="1" t="n">
        <v>46304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45559</v>
      </c>
      <c r="E413" s="1" t="n">
        <v>46304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46304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46304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23385-2026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46304</v>
      </c>
      <c r="F416" t="inlineStr">
        <is>
          <t>BLEKINGE LÄN</t>
        </is>
      </c>
      <c r="G416" t="inlineStr">
        <is>
          <t>RONNEBY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45360</v>
      </c>
      <c r="E417" s="1" t="n">
        <v>46304</v>
      </c>
      <c r="F417" t="inlineStr">
        <is>
          <t>BLEKINGE LÄN</t>
        </is>
      </c>
      <c r="G417" t="inlineStr">
        <is>
          <t>RONNEBY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9580-2024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45360</v>
      </c>
      <c r="E418" s="1" t="n">
        <v>46304</v>
      </c>
      <c r="F418" t="inlineStr">
        <is>
          <t>BLEKINGE LÄN</t>
        </is>
      </c>
      <c r="G418" t="inlineStr">
        <is>
          <t>RONNEBY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46304</v>
      </c>
      <c r="F419" t="inlineStr">
        <is>
          <t>BLEKINGE LÄN</t>
        </is>
      </c>
      <c r="G419" t="inlineStr">
        <is>
          <t>RONNEBY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45104</v>
      </c>
      <c r="E420" s="1" t="n">
        <v>46304</v>
      </c>
      <c r="F420" t="inlineStr">
        <is>
          <t>BLEKINGE LÄN</t>
        </is>
      </c>
      <c r="G420" t="inlineStr">
        <is>
          <t>RONNEBY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46164</v>
      </c>
      <c r="E421" s="1" t="n">
        <v>46304</v>
      </c>
      <c r="F421" t="inlineStr">
        <is>
          <t>BLEKINGE LÄN</t>
        </is>
      </c>
      <c r="G421" t="inlineStr">
        <is>
          <t>RONNEBY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26644-2022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44739</v>
      </c>
      <c r="E422" s="1" t="n">
        <v>46304</v>
      </c>
      <c r="F422" t="inlineStr">
        <is>
          <t>BLEKINGE LÄN</t>
        </is>
      </c>
      <c r="G422" t="inlineStr">
        <is>
          <t>RONNEBY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45105</v>
      </c>
      <c r="E423" s="1" t="n">
        <v>46304</v>
      </c>
      <c r="F423" t="inlineStr">
        <is>
          <t>BLEKINGE LÄN</t>
        </is>
      </c>
      <c r="G423" t="inlineStr">
        <is>
          <t>RONNEBY</t>
        </is>
      </c>
      <c r="H423" t="inlineStr">
        <is>
          <t>Kommuner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44945</v>
      </c>
      <c r="E424" s="1" t="n">
        <v>46304</v>
      </c>
      <c r="F424" t="inlineStr">
        <is>
          <t>BLEKINGE LÄN</t>
        </is>
      </c>
      <c r="G424" t="inlineStr">
        <is>
          <t>RONNEBY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7347-2022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44606</v>
      </c>
      <c r="E425" s="1" t="n">
        <v>46304</v>
      </c>
      <c r="F425" t="inlineStr">
        <is>
          <t>BLEKINGE LÄN</t>
        </is>
      </c>
      <c r="G425" t="inlineStr">
        <is>
          <t>RONNEBY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46304</v>
      </c>
      <c r="F426" t="inlineStr">
        <is>
          <t>BLEKINGE LÄN</t>
        </is>
      </c>
      <c r="G426" t="inlineStr">
        <is>
          <t>RONNEBY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46171</v>
      </c>
      <c r="E427" s="1" t="n">
        <v>46304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42169-2023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45178</v>
      </c>
      <c r="E428" s="1" t="n">
        <v>46304</v>
      </c>
      <c r="F428" t="inlineStr">
        <is>
          <t>BLEKINGE LÄN</t>
        </is>
      </c>
      <c r="G428" t="inlineStr">
        <is>
          <t>RONNEBY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45068</v>
      </c>
      <c r="E429" s="1" t="n">
        <v>46304</v>
      </c>
      <c r="F429" t="inlineStr">
        <is>
          <t>BLEKINGE LÄN</t>
        </is>
      </c>
      <c r="G429" t="inlineStr">
        <is>
          <t>RONNEBY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45536</v>
      </c>
      <c r="E430" s="1" t="n">
        <v>46304</v>
      </c>
      <c r="F430" t="inlineStr">
        <is>
          <t>BLEKINGE LÄN</t>
        </is>
      </c>
      <c r="G430" t="inlineStr">
        <is>
          <t>RONNEBY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22814-2023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45072</v>
      </c>
      <c r="E431" s="1" t="n">
        <v>46304</v>
      </c>
      <c r="F431" t="inlineStr">
        <is>
          <t>BLEKINGE LÄN</t>
        </is>
      </c>
      <c r="G431" t="inlineStr">
        <is>
          <t>RONNEBY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45196</v>
      </c>
      <c r="E432" s="1" t="n">
        <v>46304</v>
      </c>
      <c r="F432" t="inlineStr">
        <is>
          <t>BLEKINGE LÄN</t>
        </is>
      </c>
      <c r="G432" t="inlineStr">
        <is>
          <t>RONNEBY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45195</v>
      </c>
      <c r="E433" s="1" t="n">
        <v>46304</v>
      </c>
      <c r="F433" t="inlineStr">
        <is>
          <t>BLEKINGE LÄN</t>
        </is>
      </c>
      <c r="G433" t="inlineStr">
        <is>
          <t>RONNEBY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46304</v>
      </c>
      <c r="F434" t="inlineStr">
        <is>
          <t>BLEKINGE LÄN</t>
        </is>
      </c>
      <c r="G434" t="inlineStr">
        <is>
          <t>RONNEBY</t>
        </is>
      </c>
      <c r="H434" t="inlineStr">
        <is>
          <t>Kommuner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45193</v>
      </c>
      <c r="E435" s="1" t="n">
        <v>46304</v>
      </c>
      <c r="F435" t="inlineStr">
        <is>
          <t>BLEKINGE LÄN</t>
        </is>
      </c>
      <c r="G435" t="inlineStr">
        <is>
          <t>RONNEBY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46304</v>
      </c>
      <c r="F436" t="inlineStr">
        <is>
          <t>BLEKINGE LÄN</t>
        </is>
      </c>
      <c r="G436" t="inlineStr">
        <is>
          <t>RONNEBY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46304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45085</v>
      </c>
      <c r="E438" s="1" t="n">
        <v>46304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46304</v>
      </c>
      <c r="F439" t="inlineStr">
        <is>
          <t>BLEKINGE LÄN</t>
        </is>
      </c>
      <c r="G439" t="inlineStr">
        <is>
          <t>RONNEBY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46304</v>
      </c>
      <c r="F440" t="inlineStr">
        <is>
          <t>BLEKINGE LÄN</t>
        </is>
      </c>
      <c r="G440" t="inlineStr">
        <is>
          <t>RONNEBY</t>
        </is>
      </c>
      <c r="H440" t="inlineStr">
        <is>
          <t>Övriga Aktiebolag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46304</v>
      </c>
      <c r="F441" t="inlineStr">
        <is>
          <t>BLEKINGE LÄN</t>
        </is>
      </c>
      <c r="G441" t="inlineStr">
        <is>
          <t>RONNEBY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26231-2023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45091</v>
      </c>
      <c r="E442" s="1" t="n">
        <v>46304</v>
      </c>
      <c r="F442" t="inlineStr">
        <is>
          <t>BLEKINGE LÄN</t>
        </is>
      </c>
      <c r="G442" t="inlineStr">
        <is>
          <t>RONNEBY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46304</v>
      </c>
      <c r="F443" t="inlineStr">
        <is>
          <t>BLEKINGE LÄN</t>
        </is>
      </c>
      <c r="G443" t="inlineStr">
        <is>
          <t>RONNEBY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46304</v>
      </c>
      <c r="F444" t="inlineStr">
        <is>
          <t>BLEKINGE LÄN</t>
        </is>
      </c>
      <c r="G444" t="inlineStr">
        <is>
          <t>RONNEBY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32537-2023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46304</v>
      </c>
      <c r="F445" t="inlineStr">
        <is>
          <t>BLEKINGE LÄN</t>
        </is>
      </c>
      <c r="G445" t="inlineStr">
        <is>
          <t>RONNEBY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45152</v>
      </c>
      <c r="E446" s="1" t="n">
        <v>46304</v>
      </c>
      <c r="F446" t="inlineStr">
        <is>
          <t>BLEKINGE LÄN</t>
        </is>
      </c>
      <c r="G446" t="inlineStr">
        <is>
          <t>RONNEBY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45139</v>
      </c>
      <c r="E447" s="1" t="n">
        <v>46304</v>
      </c>
      <c r="F447" t="inlineStr">
        <is>
          <t>BLEKINGE LÄN</t>
        </is>
      </c>
      <c r="G447" t="inlineStr">
        <is>
          <t>RONNEBY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46304</v>
      </c>
      <c r="F448" t="inlineStr">
        <is>
          <t>BLEKINGE LÄN</t>
        </is>
      </c>
      <c r="G448" t="inlineStr">
        <is>
          <t>RONNEBY</t>
        </is>
      </c>
      <c r="I448" t="n">
        <v>9.9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45118</v>
      </c>
      <c r="E449" s="1" t="n">
        <v>46304</v>
      </c>
      <c r="F449" t="inlineStr">
        <is>
          <t>BLEKINGE LÄN</t>
        </is>
      </c>
      <c r="G449" t="inlineStr">
        <is>
          <t>RONNEBY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45178</v>
      </c>
      <c r="E450" s="1" t="n">
        <v>46304</v>
      </c>
      <c r="F450" t="inlineStr">
        <is>
          <t>BLEKINGE LÄN</t>
        </is>
      </c>
      <c r="G450" t="inlineStr">
        <is>
          <t>RONNEBY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45062</v>
      </c>
      <c r="E451" s="1" t="n">
        <v>46304</v>
      </c>
      <c r="F451" t="inlineStr">
        <is>
          <t>BLEKINGE LÄN</t>
        </is>
      </c>
      <c r="G451" t="inlineStr">
        <is>
          <t>RONNEBY</t>
        </is>
      </c>
      <c r="H451" t="inlineStr">
        <is>
          <t>Kommuner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45201</v>
      </c>
      <c r="E452" s="1" t="n">
        <v>46304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45195</v>
      </c>
      <c r="E453" s="1" t="n">
        <v>46304</v>
      </c>
      <c r="F453" t="inlineStr">
        <is>
          <t>BLEKINGE LÄN</t>
        </is>
      </c>
      <c r="G453" t="inlineStr">
        <is>
          <t>RONNEBY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45027</v>
      </c>
      <c r="E454" s="1" t="n">
        <v>46304</v>
      </c>
      <c r="F454" t="inlineStr">
        <is>
          <t>BLEKINGE LÄN</t>
        </is>
      </c>
      <c r="G454" t="inlineStr">
        <is>
          <t>RONNEBY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50921-2024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45602</v>
      </c>
      <c r="E455" s="1" t="n">
        <v>46304</v>
      </c>
      <c r="F455" t="inlineStr">
        <is>
          <t>BLEKINGE LÄN</t>
        </is>
      </c>
      <c r="G455" t="inlineStr">
        <is>
          <t>RONNEBY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45378</v>
      </c>
      <c r="E456" s="1" t="n">
        <v>46304</v>
      </c>
      <c r="F456" t="inlineStr">
        <is>
          <t>BLEKINGE LÄN</t>
        </is>
      </c>
      <c r="G456" t="inlineStr">
        <is>
          <t>RONNEBY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45436</v>
      </c>
      <c r="E457" s="1" t="n">
        <v>46304</v>
      </c>
      <c r="F457" t="inlineStr">
        <is>
          <t>BLEKINGE LÄN</t>
        </is>
      </c>
      <c r="G457" t="inlineStr">
        <is>
          <t>RONNEBY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8003-2024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45350</v>
      </c>
      <c r="E458" s="1" t="n">
        <v>46304</v>
      </c>
      <c r="F458" t="inlineStr">
        <is>
          <t>BLEKINGE LÄN</t>
        </is>
      </c>
      <c r="G458" t="inlineStr">
        <is>
          <t>RONNEBY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45350</v>
      </c>
      <c r="E459" s="1" t="n">
        <v>46304</v>
      </c>
      <c r="F459" t="inlineStr">
        <is>
          <t>BLEKINGE LÄN</t>
        </is>
      </c>
      <c r="G459" t="inlineStr">
        <is>
          <t>RONNEBY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46304</v>
      </c>
      <c r="F460" t="inlineStr">
        <is>
          <t>BLEKINGE LÄN</t>
        </is>
      </c>
      <c r="G460" t="inlineStr">
        <is>
          <t>RONNEBY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45303</v>
      </c>
      <c r="E461" s="1" t="n">
        <v>46304</v>
      </c>
      <c r="F461" t="inlineStr">
        <is>
          <t>BLEKINGE LÄN</t>
        </is>
      </c>
      <c r="G461" t="inlineStr">
        <is>
          <t>RONNEBY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44974</v>
      </c>
      <c r="E462" s="1" t="n">
        <v>46304</v>
      </c>
      <c r="F462" t="inlineStr">
        <is>
          <t>BLEKINGE LÄN</t>
        </is>
      </c>
      <c r="G462" t="inlineStr">
        <is>
          <t>RONNEBY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46304</v>
      </c>
      <c r="F463" t="inlineStr">
        <is>
          <t>BLEKINGE LÄN</t>
        </is>
      </c>
      <c r="G463" t="inlineStr">
        <is>
          <t>RONNEBY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44806</v>
      </c>
      <c r="E464" s="1" t="n">
        <v>46304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45921</v>
      </c>
      <c r="E465" s="1" t="n">
        <v>46304</v>
      </c>
      <c r="F465" t="inlineStr">
        <is>
          <t>BLEKINGE LÄN</t>
        </is>
      </c>
      <c r="G465" t="inlineStr">
        <is>
          <t>RONNEBY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11179-2023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44992</v>
      </c>
      <c r="E466" s="1" t="n">
        <v>46304</v>
      </c>
      <c r="F466" t="inlineStr">
        <is>
          <t>BLEKINGE LÄN</t>
        </is>
      </c>
      <c r="G466" t="inlineStr">
        <is>
          <t>RONNEBY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28732-2026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46198</v>
      </c>
      <c r="E467" s="1" t="n">
        <v>46304</v>
      </c>
      <c r="F467" t="inlineStr">
        <is>
          <t>BLEKINGE LÄN</t>
        </is>
      </c>
      <c r="G467" t="inlineStr">
        <is>
          <t>RONNEBY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57426-2023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45246</v>
      </c>
      <c r="E468" s="1" t="n">
        <v>46304</v>
      </c>
      <c r="F468" t="inlineStr">
        <is>
          <t>BLEKINGE LÄN</t>
        </is>
      </c>
      <c r="G468" t="inlineStr">
        <is>
          <t>RONNEBY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44565</v>
      </c>
      <c r="E469" s="1" t="n">
        <v>46304</v>
      </c>
      <c r="F469" t="inlineStr">
        <is>
          <t>BLEKINGE LÄN</t>
        </is>
      </c>
      <c r="G469" t="inlineStr">
        <is>
          <t>RONNEBY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46304</v>
      </c>
      <c r="F470" t="inlineStr">
        <is>
          <t>BLEKINGE LÄN</t>
        </is>
      </c>
      <c r="G470" t="inlineStr">
        <is>
          <t>RONNEBY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46202</v>
      </c>
      <c r="E471" s="1" t="n">
        <v>46304</v>
      </c>
      <c r="F471" t="inlineStr">
        <is>
          <t>BLEKINGE LÄN</t>
        </is>
      </c>
      <c r="G471" t="inlineStr">
        <is>
          <t>RONNEBY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55079-2023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45237</v>
      </c>
      <c r="E472" s="1" t="n">
        <v>46304</v>
      </c>
      <c r="F472" t="inlineStr">
        <is>
          <t>BLEKINGE LÄN</t>
        </is>
      </c>
      <c r="G472" t="inlineStr">
        <is>
          <t>RONNEBY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46304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44774</v>
      </c>
      <c r="E474" s="1" t="n">
        <v>46304</v>
      </c>
      <c r="F474" t="inlineStr">
        <is>
          <t>BLEKINGE LÄN</t>
        </is>
      </c>
      <c r="G474" t="inlineStr">
        <is>
          <t>RONNEBY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38375-2024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45545</v>
      </c>
      <c r="E475" s="1" t="n">
        <v>46304</v>
      </c>
      <c r="F475" t="inlineStr">
        <is>
          <t>BLEKINGE LÄN</t>
        </is>
      </c>
      <c r="G475" t="inlineStr">
        <is>
          <t>RONNEBY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1432-2024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45303</v>
      </c>
      <c r="E476" s="1" t="n">
        <v>46304</v>
      </c>
      <c r="F476" t="inlineStr">
        <is>
          <t>BLEKINGE LÄN</t>
        </is>
      </c>
      <c r="G476" t="inlineStr">
        <is>
          <t>RONNEBY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45430</v>
      </c>
      <c r="E477" s="1" t="n">
        <v>46304</v>
      </c>
      <c r="F477" t="inlineStr">
        <is>
          <t>BLEKINGE LÄN</t>
        </is>
      </c>
      <c r="G477" t="inlineStr">
        <is>
          <t>RONNEBY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4470-2023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44956</v>
      </c>
      <c r="E478" s="1" t="n">
        <v>46304</v>
      </c>
      <c r="F478" t="inlineStr">
        <is>
          <t>BLEKINGE LÄN</t>
        </is>
      </c>
      <c r="G478" t="inlineStr">
        <is>
          <t>RONNEBY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46304</v>
      </c>
      <c r="F479" t="inlineStr">
        <is>
          <t>BLEKINGE LÄN</t>
        </is>
      </c>
      <c r="G479" t="inlineStr">
        <is>
          <t>RONNEBY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6869-2024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45342</v>
      </c>
      <c r="E480" s="1" t="n">
        <v>46304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45428</v>
      </c>
      <c r="E481" s="1" t="n">
        <v>46304</v>
      </c>
      <c r="F481" t="inlineStr">
        <is>
          <t>BLEKINGE LÄN</t>
        </is>
      </c>
      <c r="G481" t="inlineStr">
        <is>
          <t>RONNEBY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45373</v>
      </c>
      <c r="E482" s="1" t="n">
        <v>46304</v>
      </c>
      <c r="F482" t="inlineStr">
        <is>
          <t>BLEKINGE LÄN</t>
        </is>
      </c>
      <c r="G482" t="inlineStr">
        <is>
          <t>RONNEBY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11165-2025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45724</v>
      </c>
      <c r="E483" s="1" t="n">
        <v>46304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14234-2022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44651</v>
      </c>
      <c r="E484" s="1" t="n">
        <v>46304</v>
      </c>
      <c r="F484" t="inlineStr">
        <is>
          <t>BLEKINGE LÄN</t>
        </is>
      </c>
      <c r="G484" t="inlineStr">
        <is>
          <t>RONNEBY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46210</v>
      </c>
      <c r="E485" s="1" t="n">
        <v>46304</v>
      </c>
      <c r="F485" t="inlineStr">
        <is>
          <t>BLEKINGE LÄN</t>
        </is>
      </c>
      <c r="G485" t="inlineStr">
        <is>
          <t>RONNEBY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46304</v>
      </c>
      <c r="F486" t="inlineStr">
        <is>
          <t>BLEKINGE LÄN</t>
        </is>
      </c>
      <c r="G486" t="inlineStr">
        <is>
          <t>RONNEBY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46304</v>
      </c>
      <c r="F487" t="inlineStr">
        <is>
          <t>BLEKINGE LÄN</t>
        </is>
      </c>
      <c r="G487" t="inlineStr">
        <is>
          <t>RONNEBY</t>
        </is>
      </c>
      <c r="H487" t="inlineStr">
        <is>
          <t>Övriga Aktiebolag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30564-2026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46304</v>
      </c>
      <c r="F488" t="inlineStr">
        <is>
          <t>BLEKINGE LÄN</t>
        </is>
      </c>
      <c r="G488" t="inlineStr">
        <is>
          <t>RONNEBY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45408</v>
      </c>
      <c r="E489" s="1" t="n">
        <v>46304</v>
      </c>
      <c r="F489" t="inlineStr">
        <is>
          <t>BLEKINGE LÄN</t>
        </is>
      </c>
      <c r="G489" t="inlineStr">
        <is>
          <t>RONNEBY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45097</v>
      </c>
      <c r="E490" s="1" t="n">
        <v>46304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44530-2023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46304</v>
      </c>
      <c r="F491" t="inlineStr">
        <is>
          <t>BLEKINGE LÄN</t>
        </is>
      </c>
      <c r="G491" t="inlineStr">
        <is>
          <t>RONNEBY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45051</v>
      </c>
      <c r="E492" s="1" t="n">
        <v>46304</v>
      </c>
      <c r="F492" t="inlineStr">
        <is>
          <t>BLEKINGE LÄN</t>
        </is>
      </c>
      <c r="G492" t="inlineStr">
        <is>
          <t>RONNEBY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46209</v>
      </c>
      <c r="E493" s="1" t="n">
        <v>46304</v>
      </c>
      <c r="F493" t="inlineStr">
        <is>
          <t>BLEKINGE LÄN</t>
        </is>
      </c>
      <c r="G493" t="inlineStr">
        <is>
          <t>RONNEBY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13688-2023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45006</v>
      </c>
      <c r="E494" s="1" t="n">
        <v>46304</v>
      </c>
      <c r="F494" t="inlineStr">
        <is>
          <t>BLEKINGE LÄN</t>
        </is>
      </c>
      <c r="G494" t="inlineStr">
        <is>
          <t>RONNEBY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46304</v>
      </c>
      <c r="F495" t="inlineStr">
        <is>
          <t>BLEKINGE LÄN</t>
        </is>
      </c>
      <c r="G495" t="inlineStr">
        <is>
          <t>RONNEBY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46304</v>
      </c>
      <c r="F496" t="inlineStr">
        <is>
          <t>BLEKINGE LÄN</t>
        </is>
      </c>
      <c r="G496" t="inlineStr">
        <is>
          <t>RONNEBY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46212</v>
      </c>
      <c r="E497" s="1" t="n">
        <v>46304</v>
      </c>
      <c r="F497" t="inlineStr">
        <is>
          <t>BLEKINGE LÄN</t>
        </is>
      </c>
      <c r="G497" t="inlineStr">
        <is>
          <t>RONNEBY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46140</v>
      </c>
      <c r="E498" s="1" t="n">
        <v>46304</v>
      </c>
      <c r="F498" t="inlineStr">
        <is>
          <t>BLEKINGE LÄN</t>
        </is>
      </c>
      <c r="G498" t="inlineStr">
        <is>
          <t>RONNEBY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45139</v>
      </c>
      <c r="E499" s="1" t="n">
        <v>46304</v>
      </c>
      <c r="F499" t="inlineStr">
        <is>
          <t>BLEKINGE LÄN</t>
        </is>
      </c>
      <c r="G499" t="inlineStr">
        <is>
          <t>RONNEBY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46216</v>
      </c>
      <c r="E500" s="1" t="n">
        <v>46304</v>
      </c>
      <c r="F500" t="inlineStr">
        <is>
          <t>BLEKINGE LÄN</t>
        </is>
      </c>
      <c r="G500" t="inlineStr">
        <is>
          <t>RONNEBY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23424-2023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45076</v>
      </c>
      <c r="E501" s="1" t="n">
        <v>46304</v>
      </c>
      <c r="F501" t="inlineStr">
        <is>
          <t>BLEKINGE LÄN</t>
        </is>
      </c>
      <c r="G501" t="inlineStr">
        <is>
          <t>RONNEBY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39925-2022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44819</v>
      </c>
      <c r="E502" s="1" t="n">
        <v>46304</v>
      </c>
      <c r="F502" t="inlineStr">
        <is>
          <t>BLEKINGE LÄN</t>
        </is>
      </c>
      <c r="G502" t="inlineStr">
        <is>
          <t>RONNEBY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15196-2022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44658</v>
      </c>
      <c r="E503" s="1" t="n">
        <v>46304</v>
      </c>
      <c r="F503" t="inlineStr">
        <is>
          <t>BLEKINGE LÄN</t>
        </is>
      </c>
      <c r="G503" t="inlineStr">
        <is>
          <t>RONNEBY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31138-2026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46304</v>
      </c>
      <c r="F504" t="inlineStr">
        <is>
          <t>BLEKINGE LÄN</t>
        </is>
      </c>
      <c r="G504" t="inlineStr">
        <is>
          <t>RONNEBY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31278-2026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46218</v>
      </c>
      <c r="E505" s="1" t="n">
        <v>46304</v>
      </c>
      <c r="F505" t="inlineStr">
        <is>
          <t>BLEKINGE LÄN</t>
        </is>
      </c>
      <c r="G505" t="inlineStr">
        <is>
          <t>RONNEBY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45685</v>
      </c>
      <c r="E506" s="1" t="n">
        <v>46304</v>
      </c>
      <c r="F506" t="inlineStr">
        <is>
          <t>BLEKINGE LÄN</t>
        </is>
      </c>
      <c r="G506" t="inlineStr">
        <is>
          <t>RONNEBY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46304</v>
      </c>
      <c r="F507" t="inlineStr">
        <is>
          <t>BLEKINGE LÄN</t>
        </is>
      </c>
      <c r="G507" t="inlineStr">
        <is>
          <t>RONNEBY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46304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46304</v>
      </c>
      <c r="F509" t="inlineStr">
        <is>
          <t>BLEKINGE LÄN</t>
        </is>
      </c>
      <c r="G509" t="inlineStr">
        <is>
          <t>RONNEBY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46883-2023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45201</v>
      </c>
      <c r="E510" s="1" t="n">
        <v>46304</v>
      </c>
      <c r="F510" t="inlineStr">
        <is>
          <t>BLEKINGE LÄN</t>
        </is>
      </c>
      <c r="G510" t="inlineStr">
        <is>
          <t>RONNEBY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46304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21442-2023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45063</v>
      </c>
      <c r="E512" s="1" t="n">
        <v>46304</v>
      </c>
      <c r="F512" t="inlineStr">
        <is>
          <t>BLEKINGE LÄN</t>
        </is>
      </c>
      <c r="G512" t="inlineStr">
        <is>
          <t>RONNEBY</t>
        </is>
      </c>
      <c r="H512" t="inlineStr">
        <is>
          <t>Övriga Aktiebolag</t>
        </is>
      </c>
      <c r="I512" t="n">
        <v>7.4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35760-2026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46304</v>
      </c>
      <c r="F513" t="inlineStr">
        <is>
          <t>BLEKINGE LÄN</t>
        </is>
      </c>
      <c r="G513" t="inlineStr">
        <is>
          <t>RONNEBY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44748</v>
      </c>
      <c r="E514" s="1" t="n">
        <v>46304</v>
      </c>
      <c r="F514" t="inlineStr">
        <is>
          <t>BLEKINGE LÄN</t>
        </is>
      </c>
      <c r="G514" t="inlineStr">
        <is>
          <t>RONNEBY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46304</v>
      </c>
      <c r="F515" t="inlineStr">
        <is>
          <t>BLEKINGE LÄN</t>
        </is>
      </c>
      <c r="G515" t="inlineStr">
        <is>
          <t>RONNEBY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46304</v>
      </c>
      <c r="F516" t="inlineStr">
        <is>
          <t>BLEKINGE LÄN</t>
        </is>
      </c>
      <c r="G516" t="inlineStr">
        <is>
          <t>RONNEBY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45078</v>
      </c>
      <c r="E517" s="1" t="n">
        <v>46304</v>
      </c>
      <c r="F517" t="inlineStr">
        <is>
          <t>BLEKINGE LÄN</t>
        </is>
      </c>
      <c r="G517" t="inlineStr">
        <is>
          <t>RONNEBY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46304</v>
      </c>
      <c r="F518" t="inlineStr">
        <is>
          <t>BLEKINGE LÄN</t>
        </is>
      </c>
      <c r="G518" t="inlineStr">
        <is>
          <t>RONNEBY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50198-2024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45600</v>
      </c>
      <c r="E519" s="1" t="n">
        <v>46304</v>
      </c>
      <c r="F519" t="inlineStr">
        <is>
          <t>BLEKINGE LÄN</t>
        </is>
      </c>
      <c r="G519" t="inlineStr">
        <is>
          <t>RONNEBY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9302-2023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44980</v>
      </c>
      <c r="E520" s="1" t="n">
        <v>46304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46304</v>
      </c>
      <c r="F521" t="inlineStr">
        <is>
          <t>BLEKINGE LÄN</t>
        </is>
      </c>
      <c r="G521" t="inlineStr">
        <is>
          <t>RONNEBY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46304</v>
      </c>
      <c r="F522" t="inlineStr">
        <is>
          <t>BLEKINGE LÄN</t>
        </is>
      </c>
      <c r="G522" t="inlineStr">
        <is>
          <t>RONNEBY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10920-2025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45722</v>
      </c>
      <c r="E523" s="1" t="n">
        <v>46304</v>
      </c>
      <c r="F523" t="inlineStr">
        <is>
          <t>BLEKINGE LÄN</t>
        </is>
      </c>
      <c r="G523" t="inlineStr">
        <is>
          <t>RONNEBY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36219-2026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46304</v>
      </c>
      <c r="F524" t="inlineStr">
        <is>
          <t>BLEKINGE LÄN</t>
        </is>
      </c>
      <c r="G524" t="inlineStr">
        <is>
          <t>RONNEBY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46226</v>
      </c>
      <c r="E525" s="1" t="n">
        <v>46304</v>
      </c>
      <c r="F525" t="inlineStr">
        <is>
          <t>BLEKINGE LÄN</t>
        </is>
      </c>
      <c r="G525" t="inlineStr">
        <is>
          <t>RONNEBY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36308-2026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46268</v>
      </c>
      <c r="E526" s="1" t="n">
        <v>46304</v>
      </c>
      <c r="F526" t="inlineStr">
        <is>
          <t>BLEKINGE LÄN</t>
        </is>
      </c>
      <c r="G526" t="inlineStr">
        <is>
          <t>RONNEBY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46304</v>
      </c>
      <c r="F527" t="inlineStr">
        <is>
          <t>BLEKINGE LÄN</t>
        </is>
      </c>
      <c r="G527" t="inlineStr">
        <is>
          <t>RONNEBY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20822-2023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45058</v>
      </c>
      <c r="E528" s="1" t="n">
        <v>46304</v>
      </c>
      <c r="F528" t="inlineStr">
        <is>
          <t>BLEKINGE LÄN</t>
        </is>
      </c>
      <c r="G528" t="inlineStr">
        <is>
          <t>RONNEBY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46304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45407-2023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45194</v>
      </c>
      <c r="E530" s="1" t="n">
        <v>46304</v>
      </c>
      <c r="F530" t="inlineStr">
        <is>
          <t>BLEKINGE LÄN</t>
        </is>
      </c>
      <c r="G530" t="inlineStr">
        <is>
          <t>RONNEBY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46304</v>
      </c>
      <c r="F531" t="inlineStr">
        <is>
          <t>BLEKINGE LÄN</t>
        </is>
      </c>
      <c r="G531" t="inlineStr">
        <is>
          <t>RONNEBY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36742-2026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46304</v>
      </c>
      <c r="F532" t="inlineStr">
        <is>
          <t>BLEKINGE LÄN</t>
        </is>
      </c>
      <c r="G532" t="inlineStr">
        <is>
          <t>RONNEBY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45057</v>
      </c>
      <c r="E533" s="1" t="n">
        <v>46304</v>
      </c>
      <c r="F533" t="inlineStr">
        <is>
          <t>BLEKINGE LÄN</t>
        </is>
      </c>
      <c r="G533" t="inlineStr">
        <is>
          <t>RONNEBY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46304</v>
      </c>
      <c r="F534" t="inlineStr">
        <is>
          <t>BLEKINGE LÄN</t>
        </is>
      </c>
      <c r="G534" t="inlineStr">
        <is>
          <t>RONNEBY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46304</v>
      </c>
      <c r="F535" t="inlineStr">
        <is>
          <t>BLEKINGE LÄN</t>
        </is>
      </c>
      <c r="G535" t="inlineStr">
        <is>
          <t>RONNEBY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44902</v>
      </c>
      <c r="E536" s="1" t="n">
        <v>46304</v>
      </c>
      <c r="F536" t="inlineStr">
        <is>
          <t>BLEKINGE LÄN</t>
        </is>
      </c>
      <c r="G536" t="inlineStr">
        <is>
          <t>RONNEBY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55350-2023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45238</v>
      </c>
      <c r="E537" s="1" t="n">
        <v>46304</v>
      </c>
      <c r="F537" t="inlineStr">
        <is>
          <t>BLEKINGE LÄN</t>
        </is>
      </c>
      <c r="G537" t="inlineStr">
        <is>
          <t>RONNEBY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37861-2026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46304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37696-2026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46304</v>
      </c>
      <c r="F539" t="inlineStr">
        <is>
          <t>BLEKINGE LÄN</t>
        </is>
      </c>
      <c r="G539" t="inlineStr">
        <is>
          <t>RONNEBY</t>
        </is>
      </c>
      <c r="H539" t="inlineStr">
        <is>
          <t>Övriga Aktiebolag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38341-2024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45545</v>
      </c>
      <c r="E540" s="1" t="n">
        <v>46304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37576-2026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46276</v>
      </c>
      <c r="E541" s="1" t="n">
        <v>46304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53188-2023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45229</v>
      </c>
      <c r="E542" s="1" t="n">
        <v>46304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46304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45104</v>
      </c>
      <c r="E544" s="1" t="n">
        <v>46304</v>
      </c>
      <c r="F544" t="inlineStr">
        <is>
          <t>BLEKINGE LÄN</t>
        </is>
      </c>
      <c r="G544" t="inlineStr">
        <is>
          <t>RONNEBY</t>
        </is>
      </c>
      <c r="H544" t="inlineStr">
        <is>
          <t>Övriga Aktiebolag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44452-2024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45574</v>
      </c>
      <c r="E545" s="1" t="n">
        <v>46304</v>
      </c>
      <c r="F545" t="inlineStr">
        <is>
          <t>BLEKINGE LÄN</t>
        </is>
      </c>
      <c r="G545" t="inlineStr">
        <is>
          <t>RONNEBY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34888-2024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45527</v>
      </c>
      <c r="E546" s="1" t="n">
        <v>46304</v>
      </c>
      <c r="F546" t="inlineStr">
        <is>
          <t>BLEKINGE LÄN</t>
        </is>
      </c>
      <c r="G546" t="inlineStr">
        <is>
          <t>RONNEBY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46281</v>
      </c>
      <c r="E547" s="1" t="n">
        <v>46304</v>
      </c>
      <c r="F547" t="inlineStr">
        <is>
          <t>BLEKINGE LÄN</t>
        </is>
      </c>
      <c r="G547" t="inlineStr">
        <is>
          <t>RONNEBY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46304</v>
      </c>
      <c r="F548" t="inlineStr">
        <is>
          <t>BLEKINGE LÄN</t>
        </is>
      </c>
      <c r="G548" t="inlineStr">
        <is>
          <t>RONNEBY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45560</v>
      </c>
      <c r="E549" s="1" t="n">
        <v>46304</v>
      </c>
      <c r="F549" t="inlineStr">
        <is>
          <t>BLEKINGE LÄN</t>
        </is>
      </c>
      <c r="G549" t="inlineStr">
        <is>
          <t>RONNEBY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45691</v>
      </c>
      <c r="E550" s="1" t="n">
        <v>46304</v>
      </c>
      <c r="F550" t="inlineStr">
        <is>
          <t>BLEKINGE LÄN</t>
        </is>
      </c>
      <c r="G550" t="inlineStr">
        <is>
          <t>RONNEBY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45394</v>
      </c>
      <c r="E551" s="1" t="n">
        <v>46304</v>
      </c>
      <c r="F551" t="inlineStr">
        <is>
          <t>BLEKINGE LÄN</t>
        </is>
      </c>
      <c r="G551" t="inlineStr">
        <is>
          <t>RONNEBY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52279-2024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45608</v>
      </c>
      <c r="E552" s="1" t="n">
        <v>46304</v>
      </c>
      <c r="F552" t="inlineStr">
        <is>
          <t>BLEKINGE LÄN</t>
        </is>
      </c>
      <c r="G552" t="inlineStr">
        <is>
          <t>RONNEBY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6741-2023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44966</v>
      </c>
      <c r="E553" s="1" t="n">
        <v>46304</v>
      </c>
      <c r="F553" t="inlineStr">
        <is>
          <t>BLEKINGE LÄN</t>
        </is>
      </c>
      <c r="G553" t="inlineStr">
        <is>
          <t>RONNEBY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45104</v>
      </c>
      <c r="E554" s="1" t="n">
        <v>46304</v>
      </c>
      <c r="F554" t="inlineStr">
        <is>
          <t>BLEKINGE LÄN</t>
        </is>
      </c>
      <c r="G554" t="inlineStr">
        <is>
          <t>RONNEBY</t>
        </is>
      </c>
      <c r="H554" t="inlineStr">
        <is>
          <t>Övriga Aktiebolag</t>
        </is>
      </c>
      <c r="I554" t="n">
        <v>10.2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45502</v>
      </c>
      <c r="E555" s="1" t="n">
        <v>46304</v>
      </c>
      <c r="F555" t="inlineStr">
        <is>
          <t>BLEKINGE LÄN</t>
        </is>
      </c>
      <c r="G555" t="inlineStr">
        <is>
          <t>RONNEBY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46304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45567</v>
      </c>
      <c r="E557" s="1" t="n">
        <v>46304</v>
      </c>
      <c r="F557" t="inlineStr">
        <is>
          <t>BLEKINGE LÄN</t>
        </is>
      </c>
      <c r="G557" t="inlineStr">
        <is>
          <t>RONNEBY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34884-2024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45527</v>
      </c>
      <c r="E558" s="1" t="n">
        <v>46304</v>
      </c>
      <c r="F558" t="inlineStr">
        <is>
          <t>BLEKINGE LÄN</t>
        </is>
      </c>
      <c r="G558" t="inlineStr">
        <is>
          <t>RONNEBY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38463-2024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45546</v>
      </c>
      <c r="E559" s="1" t="n">
        <v>46304</v>
      </c>
      <c r="F559" t="inlineStr">
        <is>
          <t>BLEKINGE LÄN</t>
        </is>
      </c>
      <c r="G559" t="inlineStr">
        <is>
          <t>RONNEBY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45724</v>
      </c>
      <c r="E560" s="1" t="n">
        <v>46304</v>
      </c>
      <c r="F560" t="inlineStr">
        <is>
          <t>BLEKINGE LÄN</t>
        </is>
      </c>
      <c r="G560" t="inlineStr">
        <is>
          <t>RONNEBY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45642-2024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46304</v>
      </c>
      <c r="F561" t="inlineStr">
        <is>
          <t>BLEKINGE LÄN</t>
        </is>
      </c>
      <c r="G561" t="inlineStr">
        <is>
          <t>RONNEBY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45530</v>
      </c>
      <c r="E562" s="1" t="n">
        <v>46304</v>
      </c>
      <c r="F562" t="inlineStr">
        <is>
          <t>BLEKINGE LÄN</t>
        </is>
      </c>
      <c r="G562" t="inlineStr">
        <is>
          <t>RONNEBY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61309-2024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45646</v>
      </c>
      <c r="E563" s="1" t="n">
        <v>46304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39109-2026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46304</v>
      </c>
      <c r="F564" t="inlineStr">
        <is>
          <t>BLEKINGE LÄN</t>
        </is>
      </c>
      <c r="G564" t="inlineStr">
        <is>
          <t>RONNEBY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46304</v>
      </c>
      <c r="F565" t="inlineStr">
        <is>
          <t>BLEKINGE LÄN</t>
        </is>
      </c>
      <c r="G565" t="inlineStr">
        <is>
          <t>RONNEBY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46304</v>
      </c>
      <c r="F566" t="inlineStr">
        <is>
          <t>BLEKINGE LÄN</t>
        </is>
      </c>
      <c r="G566" t="inlineStr">
        <is>
          <t>RONNEBY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39564-2024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46304</v>
      </c>
      <c r="F567" t="inlineStr">
        <is>
          <t>BLEKINGE LÄN</t>
        </is>
      </c>
      <c r="G567" t="inlineStr">
        <is>
          <t>RONNEBY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64469-2023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45280</v>
      </c>
      <c r="E568" s="1" t="n">
        <v>46304</v>
      </c>
      <c r="F568" t="inlineStr">
        <is>
          <t>BLEKINGE LÄN</t>
        </is>
      </c>
      <c r="G568" t="inlineStr">
        <is>
          <t>RONNEBY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46287</v>
      </c>
      <c r="E569" s="1" t="n">
        <v>46304</v>
      </c>
      <c r="F569" t="inlineStr">
        <is>
          <t>BLEKINGE LÄN</t>
        </is>
      </c>
      <c r="G569" t="inlineStr">
        <is>
          <t>RONNEBY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45791</v>
      </c>
      <c r="E570" s="1" t="n">
        <v>46304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45672</v>
      </c>
      <c r="E571" s="1" t="n">
        <v>46304</v>
      </c>
      <c r="F571" t="inlineStr">
        <is>
          <t>BLEKINGE LÄN</t>
        </is>
      </c>
      <c r="G571" t="inlineStr">
        <is>
          <t>RONNEBY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44973</v>
      </c>
      <c r="E572" s="1" t="n">
        <v>46304</v>
      </c>
      <c r="F572" t="inlineStr">
        <is>
          <t>BLEKINGE LÄN</t>
        </is>
      </c>
      <c r="G572" t="inlineStr">
        <is>
          <t>RONNEBY</t>
        </is>
      </c>
      <c r="H572" t="inlineStr">
        <is>
          <t>Övriga Aktiebolag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45078</v>
      </c>
      <c r="E573" s="1" t="n">
        <v>46304</v>
      </c>
      <c r="F573" t="inlineStr">
        <is>
          <t>BLEKINGE LÄN</t>
        </is>
      </c>
      <c r="G573" t="inlineStr">
        <is>
          <t>RONNEBY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46304</v>
      </c>
      <c r="F574" t="inlineStr">
        <is>
          <t>BLEKINGE LÄN</t>
        </is>
      </c>
      <c r="G574" t="inlineStr">
        <is>
          <t>RONNEBY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45433-2023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45194</v>
      </c>
      <c r="E575" s="1" t="n">
        <v>46304</v>
      </c>
      <c r="F575" t="inlineStr">
        <is>
          <t>BLEKINGE LÄN</t>
        </is>
      </c>
      <c r="G575" t="inlineStr">
        <is>
          <t>RONNEBY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46304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57880-2023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45247</v>
      </c>
      <c r="E577" s="1" t="n">
        <v>46304</v>
      </c>
      <c r="F577" t="inlineStr">
        <is>
          <t>BLEKINGE LÄN</t>
        </is>
      </c>
      <c r="G577" t="inlineStr">
        <is>
          <t>RONNEBY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45644-2024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45579</v>
      </c>
      <c r="E578" s="1" t="n">
        <v>46304</v>
      </c>
      <c r="F578" t="inlineStr">
        <is>
          <t>BLEKINGE LÄN</t>
        </is>
      </c>
      <c r="G578" t="inlineStr">
        <is>
          <t>RONNEBY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30197-2024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45490</v>
      </c>
      <c r="E579" s="1" t="n">
        <v>46304</v>
      </c>
      <c r="F579" t="inlineStr">
        <is>
          <t>BLEKINGE LÄN</t>
        </is>
      </c>
      <c r="G579" t="inlineStr">
        <is>
          <t>RONNEBY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46304</v>
      </c>
      <c r="F580" t="inlineStr">
        <is>
          <t>BLEKINGE LÄN</t>
        </is>
      </c>
      <c r="G580" t="inlineStr">
        <is>
          <t>RONNEBY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10567-2026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46077</v>
      </c>
      <c r="E581" s="1" t="n">
        <v>46304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39963-2026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46292</v>
      </c>
      <c r="E582" s="1" t="n">
        <v>46304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22243-2025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45785</v>
      </c>
      <c r="E583" s="1" t="n">
        <v>46304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46304</v>
      </c>
      <c r="F584" t="inlineStr">
        <is>
          <t>BLEKINGE LÄN</t>
        </is>
      </c>
      <c r="G584" t="inlineStr">
        <is>
          <t>RONNEBY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46292</v>
      </c>
      <c r="E585" s="1" t="n">
        <v>46304</v>
      </c>
      <c r="F585" t="inlineStr">
        <is>
          <t>BLEKINGE LÄN</t>
        </is>
      </c>
      <c r="G585" t="inlineStr">
        <is>
          <t>RONNEBY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11067-2026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46304</v>
      </c>
      <c r="F586" t="inlineStr">
        <is>
          <t>BLEKINGE LÄN</t>
        </is>
      </c>
      <c r="G586" t="inlineStr">
        <is>
          <t>RONNEBY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20585-2025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46304</v>
      </c>
      <c r="F587" t="inlineStr">
        <is>
          <t>BLEKINGE LÄN</t>
        </is>
      </c>
      <c r="G587" t="inlineStr">
        <is>
          <t>RONNEBY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46304</v>
      </c>
      <c r="F588" t="inlineStr">
        <is>
          <t>BLEKINGE LÄN</t>
        </is>
      </c>
      <c r="G588" t="inlineStr">
        <is>
          <t>RONNEBY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45813</v>
      </c>
      <c r="E589" s="1" t="n">
        <v>46304</v>
      </c>
      <c r="F589" t="inlineStr">
        <is>
          <t>BLEKINGE LÄN</t>
        </is>
      </c>
      <c r="G589" t="inlineStr">
        <is>
          <t>RONNEBY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17193-2024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45413</v>
      </c>
      <c r="E590" s="1" t="n">
        <v>46304</v>
      </c>
      <c r="F590" t="inlineStr">
        <is>
          <t>BLEKINGE LÄN</t>
        </is>
      </c>
      <c r="G590" t="inlineStr">
        <is>
          <t>RONNEBY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46304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46304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30227-2025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45827</v>
      </c>
      <c r="E593" s="1" t="n">
        <v>46304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30398-2025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45827</v>
      </c>
      <c r="E594" s="1" t="n">
        <v>46304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46252</v>
      </c>
      <c r="E595" s="1" t="n">
        <v>46304</v>
      </c>
      <c r="F595" t="inlineStr">
        <is>
          <t>BLEKINGE LÄN</t>
        </is>
      </c>
      <c r="G595" t="inlineStr">
        <is>
          <t>RONNEBY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29818-2025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45825</v>
      </c>
      <c r="E596" s="1" t="n">
        <v>46304</v>
      </c>
      <c r="F596" t="inlineStr">
        <is>
          <t>BLEKINGE LÄN</t>
        </is>
      </c>
      <c r="G596" t="inlineStr">
        <is>
          <t>RONNEBY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46304</v>
      </c>
      <c r="F597" t="inlineStr">
        <is>
          <t>BLEKINGE LÄN</t>
        </is>
      </c>
      <c r="G597" t="inlineStr">
        <is>
          <t>RONNEBY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46304</v>
      </c>
      <c r="F598" t="inlineStr">
        <is>
          <t>BLEKINGE LÄN</t>
        </is>
      </c>
      <c r="G598" t="inlineStr">
        <is>
          <t>RONNEBY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45835</v>
      </c>
      <c r="E599" s="1" t="n">
        <v>46304</v>
      </c>
      <c r="F599" t="inlineStr">
        <is>
          <t>BLEKINGE LÄN</t>
        </is>
      </c>
      <c r="G599" t="inlineStr">
        <is>
          <t>RONNEBY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33558-2023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45118</v>
      </c>
      <c r="E600" s="1" t="n">
        <v>46304</v>
      </c>
      <c r="F600" t="inlineStr">
        <is>
          <t>BLEKINGE LÄN</t>
        </is>
      </c>
      <c r="G600" t="inlineStr">
        <is>
          <t>RONNEBY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46300</v>
      </c>
      <c r="E601" s="1" t="n">
        <v>46304</v>
      </c>
      <c r="F601" t="inlineStr">
        <is>
          <t>BLEKINGE LÄN</t>
        </is>
      </c>
      <c r="G601" t="inlineStr">
        <is>
          <t>RONNEBY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35640-2026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46304</v>
      </c>
      <c r="F602" t="inlineStr">
        <is>
          <t>BLEKINGE LÄN</t>
        </is>
      </c>
      <c r="G602" t="inlineStr">
        <is>
          <t>RONNEBY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46300</v>
      </c>
      <c r="E603" s="1" t="n">
        <v>46304</v>
      </c>
      <c r="F603" t="inlineStr">
        <is>
          <t>BLEKINGE LÄN</t>
        </is>
      </c>
      <c r="G603" t="inlineStr">
        <is>
          <t>RONNEBY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41243-2026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46298</v>
      </c>
      <c r="E604" s="1" t="n">
        <v>46304</v>
      </c>
      <c r="F604" t="inlineStr">
        <is>
          <t>BLEKINGE LÄN</t>
        </is>
      </c>
      <c r="G604" t="inlineStr">
        <is>
          <t>RONNEBY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46300</v>
      </c>
      <c r="E605" s="1" t="n">
        <v>46304</v>
      </c>
      <c r="F605" t="inlineStr">
        <is>
          <t>BLEKINGE LÄN</t>
        </is>
      </c>
      <c r="G605" t="inlineStr">
        <is>
          <t>RONNEBY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20586-2025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45775</v>
      </c>
      <c r="E606" s="1" t="n">
        <v>46304</v>
      </c>
      <c r="F606" t="inlineStr">
        <is>
          <t>BLEKINGE LÄN</t>
        </is>
      </c>
      <c r="G606" t="inlineStr">
        <is>
          <t>RONNEBY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46304</v>
      </c>
      <c r="F607" t="inlineStr">
        <is>
          <t>BLEKINGE LÄN</t>
        </is>
      </c>
      <c r="G607" t="inlineStr">
        <is>
          <t>RONNEBY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35077-2026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46259</v>
      </c>
      <c r="E608" s="1" t="n">
        <v>46304</v>
      </c>
      <c r="F608" t="inlineStr">
        <is>
          <t>BLEKINGE LÄN</t>
        </is>
      </c>
      <c r="G608" t="inlineStr">
        <is>
          <t>RONNEBY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46259</v>
      </c>
      <c r="E609" s="1" t="n">
        <v>46304</v>
      </c>
      <c r="F609" t="inlineStr">
        <is>
          <t>BLEKINGE LÄN</t>
        </is>
      </c>
      <c r="G609" t="inlineStr">
        <is>
          <t>RONNEBY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46304</v>
      </c>
      <c r="F610" t="inlineStr">
        <is>
          <t>BLEKINGE LÄN</t>
        </is>
      </c>
      <c r="G610" t="inlineStr">
        <is>
          <t>RONNEBY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41702-2026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46302</v>
      </c>
      <c r="E611" s="1" t="n">
        <v>46304</v>
      </c>
      <c r="F611" t="inlineStr">
        <is>
          <t>BLEKINGE LÄN</t>
        </is>
      </c>
      <c r="G611" t="inlineStr">
        <is>
          <t>RONNEBY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46261</v>
      </c>
      <c r="E612" s="1" t="n">
        <v>46304</v>
      </c>
      <c r="F612" t="inlineStr">
        <is>
          <t>BLEKINGE LÄN</t>
        </is>
      </c>
      <c r="G612" t="inlineStr">
        <is>
          <t>RONNEBY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46304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46304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46304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46304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46304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2759-2024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45485</v>
      </c>
      <c r="E618" s="1" t="n">
        <v>46304</v>
      </c>
      <c r="F618" t="inlineStr">
        <is>
          <t>BLEKINGE LÄN</t>
        </is>
      </c>
      <c r="G618" t="inlineStr">
        <is>
          <t>RONNEBY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5159-2024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45646</v>
      </c>
      <c r="E619" s="1" t="n">
        <v>46304</v>
      </c>
      <c r="F619" t="inlineStr">
        <is>
          <t>BLEKINGE LÄN</t>
        </is>
      </c>
      <c r="G619" t="inlineStr">
        <is>
          <t>RONNEBY</t>
        </is>
      </c>
      <c r="I619" t="n">
        <v>75.90000000000001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4617-2024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45602</v>
      </c>
      <c r="E620" s="1" t="n">
        <v>46304</v>
      </c>
      <c r="F620" t="inlineStr">
        <is>
          <t>BLEKINGE LÄN</t>
        </is>
      </c>
      <c r="G620" t="inlineStr">
        <is>
          <t>RONNEBY</t>
        </is>
      </c>
      <c r="I620" t="n">
        <v>65.2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4090-2024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45573</v>
      </c>
      <c r="E621" s="1" t="n">
        <v>46304</v>
      </c>
      <c r="F621" t="inlineStr">
        <is>
          <t>BLEKINGE LÄN</t>
        </is>
      </c>
      <c r="G621" t="inlineStr">
        <is>
          <t>RONNEBY</t>
        </is>
      </c>
      <c r="I621" t="n">
        <v>35.7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45656</v>
      </c>
      <c r="E622" s="1" t="n">
        <v>46304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44959</v>
      </c>
      <c r="E623" s="1" t="n">
        <v>46304</v>
      </c>
      <c r="F623" t="inlineStr">
        <is>
          <t>BLEKINGE LÄN</t>
        </is>
      </c>
      <c r="G623" t="inlineStr">
        <is>
          <t>RONNEBY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2196-2024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45457</v>
      </c>
      <c r="E624" s="1" t="n">
        <v>46304</v>
      </c>
      <c r="F624" t="inlineStr">
        <is>
          <t>BLEKINGE LÄN</t>
        </is>
      </c>
      <c r="G624" t="inlineStr">
        <is>
          <t>RONNEBY</t>
        </is>
      </c>
      <c r="I624" t="n">
        <v>19.6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2689-2023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46304</v>
      </c>
      <c r="F625" t="inlineStr">
        <is>
          <t>BLEKINGE LÄN</t>
        </is>
      </c>
      <c r="G625" t="inlineStr">
        <is>
          <t>RONNEBY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2690-2023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46304</v>
      </c>
      <c r="F626" t="inlineStr">
        <is>
          <t>BLEKINGE LÄN</t>
        </is>
      </c>
      <c r="G626" t="inlineStr">
        <is>
          <t>RONNEBY</t>
        </is>
      </c>
      <c r="I626" t="n">
        <v>17.3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206-2026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46050</v>
      </c>
      <c r="E627" s="1" t="n">
        <v>46304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46064</v>
      </c>
      <c r="E628" s="1" t="n">
        <v>46304</v>
      </c>
      <c r="F628" t="inlineStr">
        <is>
          <t>BLEKINGE LÄN</t>
        </is>
      </c>
      <c r="G628" t="inlineStr">
        <is>
          <t>RONNEBY</t>
        </is>
      </c>
      <c r="I628" t="n">
        <v>24.3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782-2026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46099</v>
      </c>
      <c r="E629" s="1" t="n">
        <v>46304</v>
      </c>
      <c r="F629" t="inlineStr">
        <is>
          <t>BLEKINGE LÄN</t>
        </is>
      </c>
      <c r="G629" t="inlineStr">
        <is>
          <t>RONNEBY</t>
        </is>
      </c>
      <c r="I629" t="n">
        <v>26.6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2026-10-09T02:08:53Z</dcterms:created>
  <dcterms:modified xmlns:dcterms="http://purl.org/dc/terms/" xmlns:xsi="http://www.w3.org/2001/XMLSchema-instance" xsi:type="dcterms:W3CDTF">2026-10-09T02:08:54Z</dcterms:modified>
</cp:coreProperties>
</file>