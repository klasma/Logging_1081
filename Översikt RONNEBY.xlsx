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45790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45790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45790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45790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62673-2022</t>
        </is>
      </c>
      <c r="B6" s="1" t="n">
        <v>44925</v>
      </c>
      <c r="C6" s="1" t="n">
        <v>45790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1.7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Läderbagge
Oxtungssvamp</t>
        </is>
      </c>
      <c r="S6">
        <f>HYPERLINK("https://klasma.github.io/Logging_1081/artfynd/A 62673-2022 artfynd.xlsx", "A 62673-2022")</f>
        <v/>
      </c>
      <c r="T6">
        <f>HYPERLINK("https://klasma.github.io/Logging_1081/kartor/A 62673-2022 karta.png", "A 62673-2022")</f>
        <v/>
      </c>
      <c r="V6">
        <f>HYPERLINK("https://klasma.github.io/Logging_1081/klagomål/A 62673-2022 FSC-klagomål.docx", "A 62673-2022")</f>
        <v/>
      </c>
      <c r="W6">
        <f>HYPERLINK("https://klasma.github.io/Logging_1081/klagomålsmail/A 62673-2022 FSC-klagomål mail.docx", "A 62673-2022")</f>
        <v/>
      </c>
      <c r="X6">
        <f>HYPERLINK("https://klasma.github.io/Logging_1081/tillsyn/A 62673-2022 tillsynsbegäran.docx", "A 62673-2022")</f>
        <v/>
      </c>
      <c r="Y6">
        <f>HYPERLINK("https://klasma.github.io/Logging_1081/tillsynsmail/A 62673-2022 tillsynsbegäran mail.docx", "A 62673-2022")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45790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</v>
      </c>
      <c r="C8" s="1" t="n">
        <v>45790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45790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HYPERLINK("https://klasma.github.io/Logging_101081/artfynd/A 17339-2025 artfynd.xlsx", "A 17339-2025")</f>
        <v/>
      </c>
      <c r="T9">
        <f>HYPERLINK("https://klasma.github.io/Logging_101081/kartor/A 17339-2025 karta.png", "A 17339-2025")</f>
        <v/>
      </c>
      <c r="V9">
        <f>HYPERLINK("https://klasma.github.io/Logging_101081/klagomål/A 17339-2025 FSC-klagomål.docx", "A 17339-2025")</f>
        <v/>
      </c>
      <c r="W9">
        <f>HYPERLINK("https://klasma.github.io/Logging_101081/klagomålsmail/A 17339-2025 FSC-klagomål mail.docx", "A 17339-2025")</f>
        <v/>
      </c>
      <c r="X9">
        <f>HYPERLINK("https://klasma.github.io/Logging_101081/tillsyn/A 17339-2025 tillsynsbegäran.docx", "A 17339-2025")</f>
        <v/>
      </c>
      <c r="Y9">
        <f>HYPERLINK("https://klasma.github.io/Logging_101081/tillsynsmail/A 17339-2025 tillsynsbegäran mail.docx", "A 17339-2025")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45790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28778-2019</t>
        </is>
      </c>
      <c r="B11" s="1" t="n">
        <v>43627</v>
      </c>
      <c r="C11" s="1" t="n">
        <v>45790</v>
      </c>
      <c r="D11" t="inlineStr">
        <is>
          <t>BLEKINGE LÄN</t>
        </is>
      </c>
      <c r="E11" t="inlineStr">
        <is>
          <t>RONNEBY</t>
        </is>
      </c>
      <c r="F11" t="inlineStr">
        <is>
          <t>Kommuner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HYPERLINK("https://klasma.github.io/Logging_1081/artfynd/A 28778-2019 artfynd.xlsx", "A 28778-2019")</f>
        <v/>
      </c>
      <c r="T11">
        <f>HYPERLINK("https://klasma.github.io/Logging_1081/kartor/A 28778-2019 karta.png", "A 28778-2019")</f>
        <v/>
      </c>
      <c r="V11">
        <f>HYPERLINK("https://klasma.github.io/Logging_1081/klagomål/A 28778-2019 FSC-klagomål.docx", "A 28778-2019")</f>
        <v/>
      </c>
      <c r="W11">
        <f>HYPERLINK("https://klasma.github.io/Logging_1081/klagomålsmail/A 28778-2019 FSC-klagomål mail.docx", "A 28778-2019")</f>
        <v/>
      </c>
      <c r="X11">
        <f>HYPERLINK("https://klasma.github.io/Logging_1081/tillsyn/A 28778-2019 tillsynsbegäran.docx", "A 28778-2019")</f>
        <v/>
      </c>
      <c r="Y11">
        <f>HYPERLINK("https://klasma.github.io/Logging_1081/tillsynsmail/A 28778-2019 tillsynsbegäran mail.docx", "A 28778-2019")</f>
        <v/>
      </c>
    </row>
    <row r="12" ht="15" customHeight="1">
      <c r="A12" t="inlineStr">
        <is>
          <t>A 31451-2019</t>
        </is>
      </c>
      <c r="B12" s="1" t="n">
        <v>43640</v>
      </c>
      <c r="C12" s="1" t="n">
        <v>45790</v>
      </c>
      <c r="D12" t="inlineStr">
        <is>
          <t>BLEKINGE LÄN</t>
        </is>
      </c>
      <c r="E12" t="inlineStr">
        <is>
          <t>RONNEBY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Skarptandad barkborre</t>
        </is>
      </c>
      <c r="S12">
        <f>HYPERLINK("https://klasma.github.io/Logging_1081/artfynd/A 31451-2019 artfynd.xlsx", "A 31451-2019")</f>
        <v/>
      </c>
      <c r="T12">
        <f>HYPERLINK("https://klasma.github.io/Logging_1081/kartor/A 31451-2019 karta.png", "A 31451-2019")</f>
        <v/>
      </c>
      <c r="V12">
        <f>HYPERLINK("https://klasma.github.io/Logging_1081/klagomål/A 31451-2019 FSC-klagomål.docx", "A 31451-2019")</f>
        <v/>
      </c>
      <c r="W12">
        <f>HYPERLINK("https://klasma.github.io/Logging_1081/klagomålsmail/A 31451-2019 FSC-klagomål mail.docx", "A 31451-2019")</f>
        <v/>
      </c>
      <c r="X12">
        <f>HYPERLINK("https://klasma.github.io/Logging_1081/tillsyn/A 31451-2019 tillsynsbegäran.docx", "A 31451-2019")</f>
        <v/>
      </c>
      <c r="Y12">
        <f>HYPERLINK("https://klasma.github.io/Logging_1081/tillsynsmail/A 31451-2019 tillsynsbegäran mail.docx", "A 31451-2019")</f>
        <v/>
      </c>
    </row>
    <row r="13" ht="15" customHeight="1">
      <c r="A13" t="inlineStr">
        <is>
          <t>A 679-2020</t>
        </is>
      </c>
      <c r="B13" s="1" t="n">
        <v>43817</v>
      </c>
      <c r="C13" s="1" t="n">
        <v>45790</v>
      </c>
      <c r="D13" t="inlineStr">
        <is>
          <t>BLEKINGE LÄN</t>
        </is>
      </c>
      <c r="E13" t="inlineStr">
        <is>
          <t>RONNEBY</t>
        </is>
      </c>
      <c r="G13" t="n">
        <v>9.4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HYPERLINK("https://klasma.github.io/Logging_1081/artfynd/A 679-2020 artfynd.xlsx", "A 679-2020")</f>
        <v/>
      </c>
      <c r="T13">
        <f>HYPERLINK("https://klasma.github.io/Logging_1081/kartor/A 679-2020 karta.png", "A 679-2020")</f>
        <v/>
      </c>
      <c r="V13">
        <f>HYPERLINK("https://klasma.github.io/Logging_1081/klagomål/A 679-2020 FSC-klagomål.docx", "A 679-2020")</f>
        <v/>
      </c>
      <c r="W13">
        <f>HYPERLINK("https://klasma.github.io/Logging_1081/klagomålsmail/A 679-2020 FSC-klagomål mail.docx", "A 679-2020")</f>
        <v/>
      </c>
      <c r="X13">
        <f>HYPERLINK("https://klasma.github.io/Logging_1081/tillsyn/A 679-2020 tillsynsbegäran.docx", "A 679-2020")</f>
        <v/>
      </c>
      <c r="Y13">
        <f>HYPERLINK("https://klasma.github.io/Logging_1081/tillsynsmail/A 679-2020 tillsynsbegäran mail.docx", "A 679-2020")</f>
        <v/>
      </c>
    </row>
    <row r="14" ht="15" customHeight="1">
      <c r="A14" t="inlineStr">
        <is>
          <t>A 15365-2021</t>
        </is>
      </c>
      <c r="B14" s="1" t="n">
        <v>44284</v>
      </c>
      <c r="C14" s="1" t="n">
        <v>45790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HYPERLINK("https://klasma.github.io/Logging_1081/artfynd/A 15365-2021 artfynd.xlsx", "A 15365-2021")</f>
        <v/>
      </c>
      <c r="T14">
        <f>HYPERLINK("https://klasma.github.io/Logging_1081/kartor/A 15365-2021 karta.png", "A 15365-2021")</f>
        <v/>
      </c>
      <c r="V14">
        <f>HYPERLINK("https://klasma.github.io/Logging_1081/klagomål/A 15365-2021 FSC-klagomål.docx", "A 15365-2021")</f>
        <v/>
      </c>
      <c r="W14">
        <f>HYPERLINK("https://klasma.github.io/Logging_1081/klagomålsmail/A 15365-2021 FSC-klagomål mail.docx", "A 15365-2021")</f>
        <v/>
      </c>
      <c r="X14">
        <f>HYPERLINK("https://klasma.github.io/Logging_1081/tillsyn/A 15365-2021 tillsynsbegäran.docx", "A 15365-2021")</f>
        <v/>
      </c>
      <c r="Y14">
        <f>HYPERLINK("https://klasma.github.io/Logging_1081/tillsynsmail/A 15365-2021 tillsynsbegäran mail.docx", "A 15365-2021")</f>
        <v/>
      </c>
      <c r="Z14">
        <f>HYPERLINK("https://klasma.github.io/Logging_1081/fåglar/A 15365-2021 prioriterade fågelarter.docx", "A 15365-2021")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45790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18370-2021</t>
        </is>
      </c>
      <c r="B16" s="1" t="n">
        <v>44305</v>
      </c>
      <c r="C16" s="1" t="n">
        <v>45790</v>
      </c>
      <c r="D16" t="inlineStr">
        <is>
          <t>BLEKINGE LÄN</t>
        </is>
      </c>
      <c r="E16" t="inlineStr">
        <is>
          <t>RONNEBY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HYPERLINK("https://klasma.github.io/Logging_1081/artfynd/A 18370-2021 artfynd.xlsx", "A 18370-2021")</f>
        <v/>
      </c>
      <c r="T16">
        <f>HYPERLINK("https://klasma.github.io/Logging_1081/kartor/A 18370-2021 karta.png", "A 18370-2021")</f>
        <v/>
      </c>
      <c r="U16">
        <f>HYPERLINK("https://klasma.github.io/Logging_1081/knärot/A 18370-2021 karta knärot.png", "A 18370-2021")</f>
        <v/>
      </c>
      <c r="V16">
        <f>HYPERLINK("https://klasma.github.io/Logging_1081/klagomål/A 18370-2021 FSC-klagomål.docx", "A 18370-2021")</f>
        <v/>
      </c>
      <c r="W16">
        <f>HYPERLINK("https://klasma.github.io/Logging_1081/klagomålsmail/A 18370-2021 FSC-klagomål mail.docx", "A 18370-2021")</f>
        <v/>
      </c>
      <c r="X16">
        <f>HYPERLINK("https://klasma.github.io/Logging_1081/tillsyn/A 18370-2021 tillsynsbegäran.docx", "A 18370-2021")</f>
        <v/>
      </c>
      <c r="Y16">
        <f>HYPERLINK("https://klasma.github.io/Logging_1081/tillsynsmail/A 18370-2021 tillsynsbegäran mail.docx", "A 18370-2021")</f>
        <v/>
      </c>
    </row>
    <row r="17" ht="15" customHeight="1">
      <c r="A17" t="inlineStr">
        <is>
          <t>A 25955-2021</t>
        </is>
      </c>
      <c r="B17" s="1" t="n">
        <v>44344</v>
      </c>
      <c r="C17" s="1" t="n">
        <v>45790</v>
      </c>
      <c r="D17" t="inlineStr">
        <is>
          <t>BLEKINGE LÄN</t>
        </is>
      </c>
      <c r="E17" t="inlineStr">
        <is>
          <t>RONNEBY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HYPERLINK("https://klasma.github.io/Logging_1081/artfynd/A 25955-2021 artfynd.xlsx", "A 25955-2021")</f>
        <v/>
      </c>
      <c r="T17">
        <f>HYPERLINK("https://klasma.github.io/Logging_1081/kartor/A 25955-2021 karta.png", "A 25955-2021")</f>
        <v/>
      </c>
      <c r="V17">
        <f>HYPERLINK("https://klasma.github.io/Logging_1081/klagomål/A 25955-2021 FSC-klagomål.docx", "A 25955-2021")</f>
        <v/>
      </c>
      <c r="W17">
        <f>HYPERLINK("https://klasma.github.io/Logging_1081/klagomålsmail/A 25955-2021 FSC-klagomål mail.docx", "A 25955-2021")</f>
        <v/>
      </c>
      <c r="X17">
        <f>HYPERLINK("https://klasma.github.io/Logging_1081/tillsyn/A 25955-2021 tillsynsbegäran.docx", "A 25955-2021")</f>
        <v/>
      </c>
      <c r="Y17">
        <f>HYPERLINK("https://klasma.github.io/Logging_1081/tillsynsmail/A 25955-2021 tillsynsbegäran mail.docx", "A 25955-2021")</f>
        <v/>
      </c>
    </row>
    <row r="18" ht="15" customHeight="1">
      <c r="A18" t="inlineStr">
        <is>
          <t>A 40525-2021</t>
        </is>
      </c>
      <c r="B18" s="1" t="n">
        <v>44420</v>
      </c>
      <c r="C18" s="1" t="n">
        <v>45790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HYPERLINK("https://klasma.github.io/Logging_1081/artfynd/A 40525-2021 artfynd.xlsx", "A 40525-2021")</f>
        <v/>
      </c>
      <c r="T18">
        <f>HYPERLINK("https://klasma.github.io/Logging_1081/kartor/A 40525-2021 karta.png", "A 40525-2021")</f>
        <v/>
      </c>
      <c r="V18">
        <f>HYPERLINK("https://klasma.github.io/Logging_1081/klagomål/A 40525-2021 FSC-klagomål.docx", "A 40525-2021")</f>
        <v/>
      </c>
      <c r="W18">
        <f>HYPERLINK("https://klasma.github.io/Logging_1081/klagomålsmail/A 40525-2021 FSC-klagomål mail.docx", "A 40525-2021")</f>
        <v/>
      </c>
      <c r="X18">
        <f>HYPERLINK("https://klasma.github.io/Logging_1081/tillsyn/A 40525-2021 tillsynsbegäran.docx", "A 40525-2021")</f>
        <v/>
      </c>
      <c r="Y18">
        <f>HYPERLINK("https://klasma.github.io/Logging_1081/tillsynsmail/A 40525-2021 tillsynsbegäran mail.docx", "A 40525-2021")</f>
        <v/>
      </c>
    </row>
    <row r="19" ht="15" customHeight="1">
      <c r="A19" t="inlineStr">
        <is>
          <t>A 41708-2021</t>
        </is>
      </c>
      <c r="B19" s="1" t="n">
        <v>44425</v>
      </c>
      <c r="C19" s="1" t="n">
        <v>45790</v>
      </c>
      <c r="D19" t="inlineStr">
        <is>
          <t>BLEKINGE LÄN</t>
        </is>
      </c>
      <c r="E19" t="inlineStr">
        <is>
          <t>RONNEBY</t>
        </is>
      </c>
      <c r="G19" t="n">
        <v>7.7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Ekticka</t>
        </is>
      </c>
      <c r="S19">
        <f>HYPERLINK("https://klasma.github.io/Logging_1081/artfynd/A 41708-2021 artfynd.xlsx", "A 41708-2021")</f>
        <v/>
      </c>
      <c r="T19">
        <f>HYPERLINK("https://klasma.github.io/Logging_1081/kartor/A 41708-2021 karta.png", "A 41708-2021")</f>
        <v/>
      </c>
      <c r="V19">
        <f>HYPERLINK("https://klasma.github.io/Logging_1081/klagomål/A 41708-2021 FSC-klagomål.docx", "A 41708-2021")</f>
        <v/>
      </c>
      <c r="W19">
        <f>HYPERLINK("https://klasma.github.io/Logging_1081/klagomålsmail/A 41708-2021 FSC-klagomål mail.docx", "A 41708-2021")</f>
        <v/>
      </c>
      <c r="X19">
        <f>HYPERLINK("https://klasma.github.io/Logging_1081/tillsyn/A 41708-2021 tillsynsbegäran.docx", "A 41708-2021")</f>
        <v/>
      </c>
      <c r="Y19">
        <f>HYPERLINK("https://klasma.github.io/Logging_1081/tillsynsmail/A 41708-2021 tillsynsbegäran mail.docx", "A 41708-2021")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45790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45790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45790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45790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45790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45790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45790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45790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45790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45790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45790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45790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45790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45790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45790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45790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45790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45790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45790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45790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45790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45790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45790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45790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45790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45790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45790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45790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45790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45790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45790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45790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45790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45790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45790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45790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45790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45790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45790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45790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45790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45790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45790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45790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45790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45790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45790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45790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45790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45790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45790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45790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45790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45790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45790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45790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45790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45790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45790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45790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45790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45790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45790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45790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45790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45790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45790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45790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45790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45790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45790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45790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45790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45790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45790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45790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45790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45790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45790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45790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45790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45790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45790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45790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45790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45790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45790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45790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45790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45790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45790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45790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45790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45790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45790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45790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45790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45790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45790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45790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45790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45790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45790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45790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45790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45790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45790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45790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45790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45790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45790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45790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45790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45790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45790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45790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45790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45790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45790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45790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45790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45790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45790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45790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45790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45790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45790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45790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45790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45790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45790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45790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45790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45790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45790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45790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45790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45790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45790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45790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45790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45790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45790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45790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45790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45790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45790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45790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45790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45790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45790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45790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45790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45790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45790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45790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45790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45790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45790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45790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45790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45790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45790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45790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45790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45790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45790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45790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45790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45790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45790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45790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45790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45790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45790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45790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45790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45790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45790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45790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45790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45790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45790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45790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45790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45790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45790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45790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45790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45790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45790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45790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45790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45790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45790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45790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45790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45790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45790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45790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45790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45790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45790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45790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45790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45790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45790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45790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45790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45790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45790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45790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45790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45790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45790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45790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45790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45790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45790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45790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45790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45790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45790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45790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45790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45790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45790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45790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45790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45790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45790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45790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45790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45790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45790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45790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45790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45790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45790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45790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45790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45790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45790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45790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45790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45790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45790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45790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45790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45790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45790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45790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45790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45790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45790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45790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45790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45790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45790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45790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45790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45790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45790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45790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45790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45790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45790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45790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45790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45790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45790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45790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45790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45790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45790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45790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45790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45790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45790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45790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45790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45790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45790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45790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45790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45790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45790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45790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45790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45790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45790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45790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45790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45790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45790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45790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45790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45790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45790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45790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45790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45790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45790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45790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45790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45790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45790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45790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45790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45790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45790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45790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45790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45790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45790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45790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45790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45790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45790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45790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45790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45790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45790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45790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45790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45790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45790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45790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45790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45790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45790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45790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45790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45790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45790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45790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45790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45790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45790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45790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45790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45790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45790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45790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45790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45790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45790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45790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45790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45790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45790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45790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45790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45790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45790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45790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45790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45790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45790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45790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45790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45790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45790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45790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45790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45790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45790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45790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45790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45790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45790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45790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45790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45790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45790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45790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45790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45790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45790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45790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45790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45790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45790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45790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45790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45790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45790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45790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45790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45790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45790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45790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45790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45790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45790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45790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45790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45790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45790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45790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45790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45790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45790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45790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45790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45790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45790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45790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45790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45790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45790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45790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45790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45790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45790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45790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45790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45790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45790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45790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45790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45790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45790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45790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45790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45790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45790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45790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45790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45790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45790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45790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45790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45790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45790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45790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45790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45790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45790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45790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45790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45790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45790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45790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45790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45790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45790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45790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45790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45790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45790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45790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45790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45790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45790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45790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45790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45790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45790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45790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45790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45790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45790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45790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45790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45790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45790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45790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45790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45790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45790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45790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45790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45790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45790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45790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45790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45790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45790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45790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45790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45790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45790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45790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45790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45790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45790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45790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45790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45790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45790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45790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45790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45790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45790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45790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45790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45790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45790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45790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45790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45790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45790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45790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45790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45790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45790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45790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45790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45790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45790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45790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45790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45790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45790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45790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45790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45790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45790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45790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45790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45790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45790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45790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45790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45790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45790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45790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45790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45790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45790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45790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45790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45790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45790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45790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45790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45790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45790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45790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45790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45790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45790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45790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45790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45790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45790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45790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45790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45790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45790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45790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45790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45790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45790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45790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45790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45790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45790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45790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45790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45790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45790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45790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45790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45790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45790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45790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45790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45790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45790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45790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45790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45790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45790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45790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45790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45790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45790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45790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45790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45790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45790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45790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45790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45790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45790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45790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45790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45790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45790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45790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45790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45790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45790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45790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45790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45790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45790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45790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45790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45790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45790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45790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45790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45790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45790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45790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45790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45790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45790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45790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45790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45790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45790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45790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45790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45790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45790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45790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45790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45790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45790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45790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45790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45790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45790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45790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45790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45790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45790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45790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45790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45790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45790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45790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45790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45790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45790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45790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45790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45790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45790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45790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45790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45790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45790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45790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45790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45790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45790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45790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45790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45790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45790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45790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45790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45790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45790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45790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45790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45790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45790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45790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45790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45790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45790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45790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45790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45790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45790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45790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45790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45790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45790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45790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45790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45790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45790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45790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45790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45790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45790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45790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45790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45790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45790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45790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45790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45790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45790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45790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45790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45790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45790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45790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45790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45790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45790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45790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45790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45790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45790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45790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45790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45790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45790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45790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45790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45790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45790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45790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45790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45790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45790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45790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45790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45790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45790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45790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45790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45790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45790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45790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45790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45790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45790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45790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45790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45790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45790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45790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45790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45790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45790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45790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45790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45790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45790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45790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45790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45790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45790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45790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45790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45790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45790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45790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45790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45790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45790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45790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45790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45790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45790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45790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45790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45790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45790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45790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45790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45790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45790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45790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45790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45790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45790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45790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45790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45790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45790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45790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45790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45790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45790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45790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45790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45790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45790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45790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45790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45790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45790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45790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45790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45790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45790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45790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45790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45790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45790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45790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45790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45790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45790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45790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45790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45790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45790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45790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45790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45790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45790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45790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45790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45790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45790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45790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45790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45790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45790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45790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45790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45790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45790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45790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45790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45790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45790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45790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45790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45790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45790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45790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45790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45790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45790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45790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45790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45790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45790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45790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45790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45790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45790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45790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45790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45790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45790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45790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45790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45790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45790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45790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45790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45790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45790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45790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45790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45790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45790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45790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45790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45790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45790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45790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45790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45790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45790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45790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45790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45790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45790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45790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45790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45790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45790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45790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45790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45790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45790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45790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45790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45790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45790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45790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45790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45790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45790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45790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45790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45790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45790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45790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45790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45790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45790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45790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45790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45790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45790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45790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45790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45790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45790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45790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45790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45790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45790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45790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45790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45790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45790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45790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45790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45790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45790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45790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45790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45790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45790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45790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45790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45790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45790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45790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45790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45790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45790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45790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45790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45790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45790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45790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45790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45790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45790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45790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45790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45790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45790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45790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45790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45790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45790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45790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45790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45790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45790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45790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45790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45790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45790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45790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45790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45790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45790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45790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45790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45790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45790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45790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45790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45790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45790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45790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45790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45790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45790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45790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45790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45790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45790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45790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45790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45790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45790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45790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45790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45790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45790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45790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45790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45790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45790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45790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45790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45790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45790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45790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45790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45790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45790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45790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45790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45790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45790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45790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45790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45790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45790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45790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45790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45790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45790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45790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45790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45790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45790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45790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45790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45790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45790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45790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45790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45790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45790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45790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45790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45790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45790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45790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45790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45790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45790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45790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45790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45790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45790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45790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45790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45790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45790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45790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45790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45790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45790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45790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45790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45790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45790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45790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45790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45790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45790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45790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45790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45790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45790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45790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45790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45790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45790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45790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45790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45790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45790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45790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45790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45790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45790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45790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45790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45790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45790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45790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45790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45790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45790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45790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45790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45790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45790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45790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45790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45790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45790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45790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45790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45790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45790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45790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45790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45790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45790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45790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45790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45790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45790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45790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45790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45790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45790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45790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45790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45790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45790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45790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45790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45790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45790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45790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45790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45790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45790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45790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45790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45790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45790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45790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45790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45790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45790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45790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45790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45790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45790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45790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45790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45790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45790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45790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45790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45790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45790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45790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45790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45790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45790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45790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45790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45790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45790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45790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45790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45790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45790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45790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45790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45790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45790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45790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45790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45790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45790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45790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45790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45790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45790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45790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45790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45790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45790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45790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45790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45790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45790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45790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45790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45790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45790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45790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45790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45790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45790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45790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45790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45790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45790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45790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45790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45790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45790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45790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45790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45790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45790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45790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45790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45790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45790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45790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45790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45790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45790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45790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45790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45790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45790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45790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45790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45790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45790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45790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45790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45790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45790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45790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45790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45790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45790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45790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45790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45790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45790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45790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45790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45790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45790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45790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45790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45790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45790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13983-2025</t>
        </is>
      </c>
      <c r="B1223" s="1" t="n">
        <v>45739</v>
      </c>
      <c r="C1223" s="1" t="n">
        <v>45790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13984-2025</t>
        </is>
      </c>
      <c r="B1224" s="1" t="n">
        <v>45739</v>
      </c>
      <c r="C1224" s="1" t="n">
        <v>45790</v>
      </c>
      <c r="D1224" t="inlineStr">
        <is>
          <t>BLEKINGE LÄN</t>
        </is>
      </c>
      <c r="E1224" t="inlineStr">
        <is>
          <t>RONNEBY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45790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14349-2025</t>
        </is>
      </c>
      <c r="B1226" s="1" t="n">
        <v>45741</v>
      </c>
      <c r="C1226" s="1" t="n">
        <v>45790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14375-2025</t>
        </is>
      </c>
      <c r="B1227" s="1" t="n">
        <v>45741</v>
      </c>
      <c r="C1227" s="1" t="n">
        <v>45790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14531-2025</t>
        </is>
      </c>
      <c r="B1228" s="1" t="n">
        <v>45741</v>
      </c>
      <c r="C1228" s="1" t="n">
        <v>45790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45790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45790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14892-2025</t>
        </is>
      </c>
      <c r="B1231" s="1" t="n">
        <v>45743</v>
      </c>
      <c r="C1231" s="1" t="n">
        <v>45790</v>
      </c>
      <c r="D1231" t="inlineStr">
        <is>
          <t>BLEKINGE LÄN</t>
        </is>
      </c>
      <c r="E1231" t="inlineStr">
        <is>
          <t>RONNEBY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14897-2025</t>
        </is>
      </c>
      <c r="B1232" s="1" t="n">
        <v>45743</v>
      </c>
      <c r="C1232" s="1" t="n">
        <v>45790</v>
      </c>
      <c r="D1232" t="inlineStr">
        <is>
          <t>BLEKINGE LÄN</t>
        </is>
      </c>
      <c r="E1232" t="inlineStr">
        <is>
          <t>RONNEBY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45790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45790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45790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16865-2025</t>
        </is>
      </c>
      <c r="B1236" s="1" t="n">
        <v>45754</v>
      </c>
      <c r="C1236" s="1" t="n">
        <v>45790</v>
      </c>
      <c r="D1236" t="inlineStr">
        <is>
          <t>BLEKINGE LÄN</t>
        </is>
      </c>
      <c r="E1236" t="inlineStr">
        <is>
          <t>RONNEBY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16866-2025</t>
        </is>
      </c>
      <c r="B1237" s="1" t="n">
        <v>45754</v>
      </c>
      <c r="C1237" s="1" t="n">
        <v>45790</v>
      </c>
      <c r="D1237" t="inlineStr">
        <is>
          <t>BLEKINGE LÄN</t>
        </is>
      </c>
      <c r="E1237" t="inlineStr">
        <is>
          <t>RONNEBY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16871-2025</t>
        </is>
      </c>
      <c r="B1238" s="1" t="n">
        <v>45754</v>
      </c>
      <c r="C1238" s="1" t="n">
        <v>45790</v>
      </c>
      <c r="D1238" t="inlineStr">
        <is>
          <t>BLEKINGE LÄN</t>
        </is>
      </c>
      <c r="E1238" t="inlineStr">
        <is>
          <t>RONNEBY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16867-2025</t>
        </is>
      </c>
      <c r="B1239" s="1" t="n">
        <v>45754</v>
      </c>
      <c r="C1239" s="1" t="n">
        <v>45790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45790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17598-2025</t>
        </is>
      </c>
      <c r="B1241" s="1" t="n">
        <v>45757</v>
      </c>
      <c r="C1241" s="1" t="n">
        <v>45790</v>
      </c>
      <c r="D1241" t="inlineStr">
        <is>
          <t>BLEKINGE LÄN</t>
        </is>
      </c>
      <c r="E1241" t="inlineStr">
        <is>
          <t>RONNEBY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17599-2025</t>
        </is>
      </c>
      <c r="B1242" s="1" t="n">
        <v>45757</v>
      </c>
      <c r="C1242" s="1" t="n">
        <v>45790</v>
      </c>
      <c r="D1242" t="inlineStr">
        <is>
          <t>BLEKINGE LÄN</t>
        </is>
      </c>
      <c r="E1242" t="inlineStr">
        <is>
          <t>RONNEBY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17509-2025</t>
        </is>
      </c>
      <c r="B1243" s="1" t="n">
        <v>45757</v>
      </c>
      <c r="C1243" s="1" t="n">
        <v>45790</v>
      </c>
      <c r="D1243" t="inlineStr">
        <is>
          <t>BLEKINGE LÄN</t>
        </is>
      </c>
      <c r="E1243" t="inlineStr">
        <is>
          <t>RONNEBY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17552-2025</t>
        </is>
      </c>
      <c r="B1244" s="1" t="n">
        <v>45757</v>
      </c>
      <c r="C1244" s="1" t="n">
        <v>45790</v>
      </c>
      <c r="D1244" t="inlineStr">
        <is>
          <t>BLEKINGE LÄN</t>
        </is>
      </c>
      <c r="E1244" t="inlineStr">
        <is>
          <t>RONNEBY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19062-2025</t>
        </is>
      </c>
      <c r="B1245" s="1" t="n">
        <v>45765</v>
      </c>
      <c r="C1245" s="1" t="n">
        <v>45790</v>
      </c>
      <c r="D1245" t="inlineStr">
        <is>
          <t>BLEKINGE LÄN</t>
        </is>
      </c>
      <c r="E1245" t="inlineStr">
        <is>
          <t>RONNEBY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19061-2025</t>
        </is>
      </c>
      <c r="B1246" s="1" t="n">
        <v>45765</v>
      </c>
      <c r="C1246" s="1" t="n">
        <v>45790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19076-2025</t>
        </is>
      </c>
      <c r="B1247" s="1" t="n">
        <v>45766</v>
      </c>
      <c r="C1247" s="1" t="n">
        <v>45790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19794-2025</t>
        </is>
      </c>
      <c r="B1248" s="1" t="n">
        <v>45771</v>
      </c>
      <c r="C1248" s="1" t="n">
        <v>45790</v>
      </c>
      <c r="D1248" t="inlineStr">
        <is>
          <t>BLEKINGE LÄN</t>
        </is>
      </c>
      <c r="E1248" t="inlineStr">
        <is>
          <t>RONNEBY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20010-2025</t>
        </is>
      </c>
      <c r="B1249" s="1" t="n">
        <v>45772</v>
      </c>
      <c r="C1249" s="1" t="n">
        <v>45790</v>
      </c>
      <c r="D1249" t="inlineStr">
        <is>
          <t>BLEKINGE LÄN</t>
        </is>
      </c>
      <c r="E1249" t="inlineStr">
        <is>
          <t>RONNEBY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20499-2025</t>
        </is>
      </c>
      <c r="B1250" s="1" t="n">
        <v>45775</v>
      </c>
      <c r="C1250" s="1" t="n">
        <v>45790</v>
      </c>
      <c r="D1250" t="inlineStr">
        <is>
          <t>BLEKINGE LÄN</t>
        </is>
      </c>
      <c r="E1250" t="inlineStr">
        <is>
          <t>RONNEBY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45790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45790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45790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22235-2025</t>
        </is>
      </c>
      <c r="B1254" s="1" t="n">
        <v>45785</v>
      </c>
      <c r="C1254" s="1" t="n">
        <v>45790</v>
      </c>
      <c r="D1254" t="inlineStr">
        <is>
          <t>BLEKINGE LÄN</t>
        </is>
      </c>
      <c r="E1254" t="inlineStr">
        <is>
          <t>RONNEBY</t>
        </is>
      </c>
      <c r="F1254" t="inlineStr">
        <is>
          <t>Övriga Aktiebolag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22193-2025</t>
        </is>
      </c>
      <c r="B1255" s="1" t="n">
        <v>45785</v>
      </c>
      <c r="C1255" s="1" t="n">
        <v>45790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22826-2025</t>
        </is>
      </c>
      <c r="B1256" s="1" t="n">
        <v>45789</v>
      </c>
      <c r="C1256" s="1" t="n">
        <v>45790</v>
      </c>
      <c r="D1256" t="inlineStr">
        <is>
          <t>BLEKINGE LÄN</t>
        </is>
      </c>
      <c r="E1256" t="inlineStr">
        <is>
          <t>RONNEBY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2025-05-13T17:51:46Z</dcterms:created>
  <dcterms:modified xmlns:dcterms="http://purl.org/dc/terms/" xmlns:xsi="http://www.w3.org/2001/XMLSchema-instance" xsi:type="dcterms:W3CDTF">2025-05-13T17:51:47Z</dcterms:modified>
</cp:coreProperties>
</file>